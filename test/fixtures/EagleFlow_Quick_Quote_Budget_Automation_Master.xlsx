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acf668b5b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le Summary" sheetId="1" r:id="R5eb2f0a6ffd24a99"/>
    <x:sheet xmlns:r="http://schemas.openxmlformats.org/officeDocument/2006/relationships" name="Automation Allocation" sheetId="2" r:id="Rb9e2c9b1ff2444ac"/>
    <x:sheet xmlns:r="http://schemas.openxmlformats.org/officeDocument/2006/relationships" name="Strength Priority" sheetId="3" r:id="R42f1c60bd06646aa"/>
    <x:sheet xmlns:r="http://schemas.openxmlformats.org/officeDocument/2006/relationships" name="Automation Rules" sheetId="4" r:id="R4ae2cd5d4ec5404f"/>
    <x:sheet xmlns:r="http://schemas.openxmlformats.org/officeDocument/2006/relationships" name="Product Role Map" sheetId="5" r:id="R1786d72af0e64715"/>
    <x:sheet xmlns:r="http://schemas.openxmlformats.org/officeDocument/2006/relationships" name="Source Products" sheetId="6" r:id="R2f087243d816416e"/>
    <x:sheet xmlns:r="http://schemas.openxmlformats.org/officeDocument/2006/relationships" name="Verification" sheetId="7" r:id="R9c850b53d0b3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"/>
    <x:numFmt numFmtId="202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94da4ad1e43ca" /><Relationship Type="http://schemas.openxmlformats.org/officeDocument/2006/relationships/theme" Target="/xl/theme/theme1.xml" Id="Re6745a1064a9428b" /><Relationship Type="http://schemas.openxmlformats.org/officeDocument/2006/relationships/sharedStrings" Target="/xl/sharedStrings.xml" Id="R84486e1214d24124" /><Relationship Type="http://schemas.openxmlformats.org/officeDocument/2006/relationships/worksheet" Target="/xl/worksheets/sheet1.xml" Id="R5eb2f0a6ffd24a99" /><Relationship Type="http://schemas.openxmlformats.org/officeDocument/2006/relationships/worksheet" Target="/xl/worksheets/sheet2.xml" Id="Rb9e2c9b1ff2444ac" /><Relationship Type="http://schemas.openxmlformats.org/officeDocument/2006/relationships/worksheet" Target="/xl/worksheets/sheet3.xml" Id="R42f1c60bd06646aa" /><Relationship Type="http://schemas.openxmlformats.org/officeDocument/2006/relationships/worksheet" Target="/xl/worksheets/sheet4.xml" Id="R4ae2cd5d4ec5404f" /><Relationship Type="http://schemas.openxmlformats.org/officeDocument/2006/relationships/worksheet" Target="/xl/worksheets/sheet5.xml" Id="R1786d72af0e64715" /><Relationship Type="http://schemas.openxmlformats.org/officeDocument/2006/relationships/worksheet" Target="/xl/worksheets/sheet6.xml" Id="R2f087243d816416e" /><Relationship Type="http://schemas.openxmlformats.org/officeDocument/2006/relationships/worksheet" Target="/xl/worksheets/sheet7.xml" Id="R9c850b53d0b34c5c" /></Relationships>
</file>

<file path=xl/tables/table1.xml><?xml version="1.0" encoding="utf-8"?>
<x:table xmlns:x="http://schemas.openxmlformats.org/spreadsheetml/2006/main" id="1" name="AutomationAllocationTable" displayName="AutomationAllocationTable" ref="A2:V282" headerRowCount="1" totalsRowCount="0" totalsRowShown="0">
  <x:tableColumns count="22">
    <x:tableColumn id="1" name="Profile ID"/>
    <x:tableColumn id="2" name="Brand"/>
    <x:tableColumn id="3" name="Budget Range"/>
    <x:tableColumn id="4" name="Budget Min"/>
    <x:tableColumn id="5" name="Budget Max"/>
    <x:tableColumn id="6" name="Section Order"/>
    <x:tableColumn id="7" name="Section"/>
    <x:tableColumn id="8" name="Equipment Role"/>
    <x:tableColumn id="9" name="Automation Role Key"/>
    <x:tableColumn id="10" name="Product Code"/>
    <x:tableColumn id="11" name="Product Name"/>
    <x:tableColumn id="12" name="Product Brand"/>
    <x:tableColumn id="13" name="Qty"/>
    <x:tableColumn id="14" name="Unit Price AED"/>
    <x:tableColumn id="15" name="Line Subtotal"/>
    <x:tableColumn id="16" name="VAT %"/>
    <x:tableColumn id="17" name="VAT Amount"/>
    <x:tableColumn id="18" name="Line Total incl VAT"/>
    <x:tableColumn id="19" name="Selection Mode"/>
    <x:tableColumn id="20" name="Priority"/>
    <x:tableColumn id="21" name="Review Flag"/>
    <x:tableColumn id="2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engthPriorityTable" displayName="StrengthPriorityTable" ref="A3:K76" headerRowCount="1" totalsRowCount="0" totalsRowShown="0">
  <x:tableColumns count="11">
    <x:tableColumn id="1" name="Brand"/>
    <x:tableColumn id="2" name="Area"/>
    <x:tableColumn id="3" name="Priority"/>
    <x:tableColumn id="4" name="Product Code"/>
    <x:tableColumn id="5" name="Product Name"/>
    <x:tableColumn id="6" name="Series Prefix"/>
    <x:tableColumn id="7" name="Load Type"/>
    <x:tableColumn id="8" name="Equipment Role"/>
    <x:tableColumn id="9" name="Unit Price AED"/>
    <x:tableColumn id="10" name="Automation Rule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tomationRulesTable" displayName="AutomationRulesTable" ref="A3:D16" headerRowCount="1" totalsRowCount="0" totalsRowShown="0">
  <x:tableColumns count="4">
    <x:tableColumn id="1" name="Rule"/>
    <x:tableColumn id="2" name="Premier"/>
    <x:tableColumn id="3" name="Burnsport"/>
    <x:tableColumn id="4" name="Automation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RoleMapTable" displayName="ProductRoleMapTable" ref="A3:J109" headerRowCount="1" totalsRowCount="0" totalsRowShown="0">
  <x:tableColumns count="10">
    <x:tableColumn id="1" name="Product Code"/>
    <x:tableColumn id="2" name="Product Name"/>
    <x:tableColumn id="3" name="Catalog Brand"/>
    <x:tableColumn id="4" name="Category"/>
    <x:tableColumn id="5" name="Automation Section"/>
    <x:tableColumn id="6" name="Automation Role"/>
    <x:tableColumn id="7" name="Role Key"/>
    <x:tableColumn id="8" name="Unit Price AED"/>
    <x:tableColumn id="9" name="Auto Eligible"/>
    <x:tableColumn id="1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ProductsTable" displayName="SourceProductsTable" ref="A3:K687" headerRowCount="1" totalsRowCount="0" totalsRowShown="0">
  <x:tableColumns count="11">
    <x:tableColumn id="1" name="Product Code"/>
    <x:tableColumn id="2" name="Product Name"/>
    <x:tableColumn id="3" name="Category"/>
    <x:tableColumn id="4" name="Brand"/>
    <x:tableColumn id="5" name="Condition"/>
    <x:tableColumn id="6" name="Selling Price"/>
    <x:tableColumn id="7" name="Unit"/>
    <x:tableColumn id="8" name="Min Stock Level"/>
    <x:tableColumn id="9" name="Description / Notes"/>
    <x:tableColumn id="10" name="VAT Applicable"/>
    <x:tableColumn id="11" name="Active Produ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197d4bd9564f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0be17306624a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a718c004a449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64cb52adaf40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76c838f1f944c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14" hidden="0" customWidth="1"/>
    <x:col min="5" max="5" width="14" hidden="0" customWidth="1"/>
    <x:col min="6" max="6" width="16" hidden="0" customWidth="1"/>
    <x:col min="7" max="7" width="20" hidden="0" customWidth="1"/>
    <x:col min="8" max="8" width="19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</x:cols>
  <x:sheetData>
    <x:row r="1" ht="30" customHeight="1">
      <x:c r="A1" s="5" t="str">
        <x:v>EagleFlow Quick Quote — Budget Automation Master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</x:row>
    <x:row r="3">
      <x:c r="A3" s="12" t="str">
        <x:v>Main Full-Gym Ranges</x:v>
      </x:c>
      <x:c r="B3" s="12" t="str">
        <x:v>Premier</x:v>
      </x:c>
      <x:c r="C3" s="12" t="str">
        <x:v>AED 250K–500K</x:v>
      </x:c>
      <x:c r="D3" s="12" t="str">
        <x:v>Burnsport AED 350K–700K</x:v>
      </x:c>
      <x:c r="E3" s="40"/>
      <x:c r="F3" s="40"/>
      <x:c r="G3" s="40"/>
      <x:c r="H3" s="40"/>
      <x:c r="I3" s="40"/>
      <x:c r="J3" s="40"/>
      <x:c r="K3" s="40"/>
      <x:c r="L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</x:row>
    <x:row r="5">
      <x:c r="A5" s="20" t="str">
        <x:v>Profile ID</x:v>
      </x:c>
      <x:c r="B5" s="20" t="str">
        <x:v>Brand</x:v>
      </x:c>
      <x:c r="C5" s="20" t="str">
        <x:v>Budget Range</x:v>
      </x:c>
      <x:c r="D5" s="20" t="str">
        <x:v>Budget Min</x:v>
      </x:c>
      <x:c r="E5" s="20" t="str">
        <x:v>Budget Max</x:v>
      </x:c>
      <x:c r="F5" s="20" t="str">
        <x:v>Budget Midpoint</x:v>
      </x:c>
      <x:c r="G5" s="20" t="str">
        <x:v>Estimated Total incl. VAT</x:v>
      </x:c>
      <x:c r="H5" s="20" t="str">
        <x:v>Variance vs Midpoint</x:v>
      </x:c>
      <x:c r="I5" s="20" t="str">
        <x:v>Range Status</x:v>
      </x:c>
      <x:c r="J5" s="20" t="str">
        <x:v>Total Unit Qty</x:v>
      </x:c>
      <x:c r="K5" s="20" t="str">
        <x:v>Cardio Qty</x:v>
      </x:c>
      <x:c r="L5" s="20" t="str">
        <x:v>Strength Qty</x:v>
      </x:c>
    </x:row>
    <x:row r="6">
      <x:c r="A6" s="41" t="str">
        <x:v>PREM-250-299</x:v>
      </x:c>
      <x:c r="B6" s="41" t="str">
        <x:v>Premier</x:v>
      </x:c>
      <x:c r="C6" s="41" t="str">
        <x:v>250K-299K</x:v>
      </x:c>
      <x:c r="D6" s="42" t="n">
        <x:v>250000</x:v>
      </x:c>
      <x:c r="E6" s="42" t="n">
        <x:v>299999</x:v>
      </x:c>
      <x:c r="F6" s="42" t="n">
        <x:f>(D6+E6)/2</x:f>
        <x:v>274999.5</x:v>
      </x:c>
      <x:c r="G6" s="42" t="n">
        <x:f>SUMIFS('Automation Allocation'!$R$3:$R$282,'Automation Allocation'!$A$3:$A$282,A6)</x:f>
        <x:v>285946.5</x:v>
      </x:c>
      <x:c r="H6" s="42" t="n">
        <x:f>G6-F6</x:f>
        <x:v>10947</x:v>
      </x:c>
      <x:c r="I6" s="41" t="str">
        <x:f>IF(AND(G6&gt;=D6,G6&lt;=E6),"WITHIN RANGE","CHECK")</x:f>
        <x:v>WITHIN RANGE</x:v>
      </x:c>
      <x:c r="J6" s="43" t="n">
        <x:f>SUMIFS('Automation Allocation'!$M$3:$M$282,'Automation Allocation'!$A$3:$A$282,A6)</x:f>
        <x:v>106</x:v>
      </x:c>
      <x:c r="K6" s="43" t="n">
        <x:f>SUMIFS('Automation Allocation'!$M$3:$M$282,'Automation Allocation'!$A$3:$A$282,A6,'Automation Allocation'!$G$3:$G$282,"Cardio")</x:f>
        <x:v>15</x:v>
      </x:c>
      <x:c r="L6" s="43" t="n">
        <x:f>SUMIFS('Automation Allocation'!$M$3:$M$282,'Automation Allocation'!$A$3:$A$282,A6,'Automation Allocation'!$G$3:$G$282,"Strength")</x:f>
        <x:v>18</x:v>
      </x:c>
    </x:row>
    <x:row r="7">
      <x:c r="A7" s="41" t="str">
        <x:v>PREM-300-399</x:v>
      </x:c>
      <x:c r="B7" s="41" t="str">
        <x:v>Premier</x:v>
      </x:c>
      <x:c r="C7" s="41" t="str">
        <x:v>300K-399K</x:v>
      </x:c>
      <x:c r="D7" s="42" t="n">
        <x:v>300000</x:v>
      </x:c>
      <x:c r="E7" s="42" t="n">
        <x:v>399999</x:v>
      </x:c>
      <x:c r="F7" s="42" t="n">
        <x:f>(D7+E7)/2</x:f>
        <x:v>349999.5</x:v>
      </x:c>
      <x:c r="G7" s="42" t="n">
        <x:f>SUMIFS('Automation Allocation'!$R$3:$R$282,'Automation Allocation'!$A$3:$A$282,A7)</x:f>
        <x:v>350416.5</x:v>
      </x:c>
      <x:c r="H7" s="42" t="n">
        <x:f>G7-F7</x:f>
        <x:v>417</x:v>
      </x:c>
      <x:c r="I7" s="41" t="str">
        <x:f>IF(AND(G7&gt;=D7,G7&lt;=E7),"WITHIN RANGE","CHECK")</x:f>
        <x:v>WITHIN RANGE</x:v>
      </x:c>
      <x:c r="J7" s="43" t="n">
        <x:f>SUMIFS('Automation Allocation'!$M$3:$M$282,'Automation Allocation'!$A$3:$A$282,A7)</x:f>
        <x:v>129</x:v>
      </x:c>
      <x:c r="K7" s="43" t="n">
        <x:f>SUMIFS('Automation Allocation'!$M$3:$M$282,'Automation Allocation'!$A$3:$A$282,A7,'Automation Allocation'!$G$3:$G$282,"Cardio")</x:f>
        <x:v>20</x:v>
      </x:c>
      <x:c r="L7" s="43" t="n">
        <x:f>SUMIFS('Automation Allocation'!$M$3:$M$282,'Automation Allocation'!$A$3:$A$282,A7,'Automation Allocation'!$G$3:$G$282,"Strength")</x:f>
        <x:v>22</x:v>
      </x:c>
    </x:row>
    <x:row r="8">
      <x:c r="A8" s="41" t="str">
        <x:v>PREM-400-500</x:v>
      </x:c>
      <x:c r="B8" s="41" t="str">
        <x:v>Premier</x:v>
      </x:c>
      <x:c r="C8" s="41" t="str">
        <x:v>400K-500K</x:v>
      </x:c>
      <x:c r="D8" s="42" t="n">
        <x:v>400000</x:v>
      </x:c>
      <x:c r="E8" s="42" t="n">
        <x:v>500000</x:v>
      </x:c>
      <x:c r="F8" s="42" t="n">
        <x:f>(D8+E8)/2</x:f>
        <x:v>450000</x:v>
      </x:c>
      <x:c r="G8" s="42" t="n">
        <x:f>SUMIFS('Automation Allocation'!$R$3:$R$282,'Automation Allocation'!$A$3:$A$282,A8)</x:f>
        <x:v>458713.5</x:v>
      </x:c>
      <x:c r="H8" s="42" t="n">
        <x:f>G8-F8</x:f>
        <x:v>8713.5</x:v>
      </x:c>
      <x:c r="I8" s="41" t="str">
        <x:f>IF(AND(G8&gt;=D8,G8&lt;=E8),"WITHIN RANGE","CHECK")</x:f>
        <x:v>WITHIN RANGE</x:v>
      </x:c>
      <x:c r="J8" s="43" t="n">
        <x:f>SUMIFS('Automation Allocation'!$M$3:$M$282,'Automation Allocation'!$A$3:$A$282,A8)</x:f>
        <x:v>166</x:v>
      </x:c>
      <x:c r="K8" s="43" t="n">
        <x:f>SUMIFS('Automation Allocation'!$M$3:$M$282,'Automation Allocation'!$A$3:$A$282,A8,'Automation Allocation'!$G$3:$G$282,"Cardio")</x:f>
        <x:v>28</x:v>
      </x:c>
      <x:c r="L8" s="43" t="n">
        <x:f>SUMIFS('Automation Allocation'!$M$3:$M$282,'Automation Allocation'!$A$3:$A$282,A8,'Automation Allocation'!$G$3:$G$282,"Strength")</x:f>
        <x:v>30</x:v>
      </x:c>
    </x:row>
    <x:row r="9">
      <x:c r="A9" s="41" t="str">
        <x:v>BURN-350-449</x:v>
      </x:c>
      <x:c r="B9" s="41" t="str">
        <x:v>Burnsport</x:v>
      </x:c>
      <x:c r="C9" s="41" t="str">
        <x:v>350K-449K</x:v>
      </x:c>
      <x:c r="D9" s="42" t="n">
        <x:v>350000</x:v>
      </x:c>
      <x:c r="E9" s="42" t="n">
        <x:v>449999</x:v>
      </x:c>
      <x:c r="F9" s="42" t="n">
        <x:f>(D9+E9)/2</x:f>
        <x:v>399999.5</x:v>
      </x:c>
      <x:c r="G9" s="42" t="n">
        <x:f>SUMIFS('Automation Allocation'!$R$3:$R$282,'Automation Allocation'!$A$3:$A$282,A9)</x:f>
        <x:v>439315.3799999999</x:v>
      </x:c>
      <x:c r="H9" s="42" t="n">
        <x:f>G9-F9</x:f>
        <x:v>39315.87999999989</x:v>
      </x:c>
      <x:c r="I9" s="41" t="str">
        <x:f>IF(AND(G9&gt;=D9,G9&lt;=E9),"WITHIN RANGE","CHECK")</x:f>
        <x:v>WITHIN RANGE</x:v>
      </x:c>
      <x:c r="J9" s="43" t="n">
        <x:f>SUMIFS('Automation Allocation'!$M$3:$M$282,'Automation Allocation'!$A$3:$A$282,A9)</x:f>
        <x:v>89</x:v>
      </x:c>
      <x:c r="K9" s="43" t="n">
        <x:f>SUMIFS('Automation Allocation'!$M$3:$M$282,'Automation Allocation'!$A$3:$A$282,A9,'Automation Allocation'!$G$3:$G$282,"Cardio")</x:f>
        <x:v>12</x:v>
      </x:c>
      <x:c r="L9" s="43" t="n">
        <x:f>SUMIFS('Automation Allocation'!$M$3:$M$282,'Automation Allocation'!$A$3:$A$282,A9,'Automation Allocation'!$G$3:$G$282,"Strength")</x:f>
        <x:v>14</x:v>
      </x:c>
    </x:row>
    <x:row r="10">
      <x:c r="A10" s="41" t="str">
        <x:v>BURN-450-549</x:v>
      </x:c>
      <x:c r="B10" s="41" t="str">
        <x:v>Burnsport</x:v>
      </x:c>
      <x:c r="C10" s="41" t="str">
        <x:v>450K-549K</x:v>
      </x:c>
      <x:c r="D10" s="42" t="n">
        <x:v>450000</x:v>
      </x:c>
      <x:c r="E10" s="42" t="n">
        <x:v>549999</x:v>
      </x:c>
      <x:c r="F10" s="42" t="n">
        <x:f>(D10+E10)/2</x:f>
        <x:v>499999.5</x:v>
      </x:c>
      <x:c r="G10" s="42" t="n">
        <x:f>SUMIFS('Automation Allocation'!$R$3:$R$282,'Automation Allocation'!$A$3:$A$282,A10)</x:f>
        <x:v>544802.9999999999</x:v>
      </x:c>
      <x:c r="H10" s="42" t="n">
        <x:f>G10-F10</x:f>
        <x:v>44803.49999999988</x:v>
      </x:c>
      <x:c r="I10" s="41" t="str">
        <x:f>IF(AND(G10&gt;=D10,G10&lt;=E10),"WITHIN RANGE","CHECK")</x:f>
        <x:v>WITHIN RANGE</x:v>
      </x:c>
      <x:c r="J10" s="43" t="n">
        <x:f>SUMIFS('Automation Allocation'!$M$3:$M$282,'Automation Allocation'!$A$3:$A$282,A10)</x:f>
        <x:v>108</x:v>
      </x:c>
      <x:c r="K10" s="43" t="n">
        <x:f>SUMIFS('Automation Allocation'!$M$3:$M$282,'Automation Allocation'!$A$3:$A$282,A10,'Automation Allocation'!$G$3:$G$282,"Cardio")</x:f>
        <x:v>15</x:v>
      </x:c>
      <x:c r="L10" s="43" t="n">
        <x:f>SUMIFS('Automation Allocation'!$M$3:$M$282,'Automation Allocation'!$A$3:$A$282,A10,'Automation Allocation'!$G$3:$G$282,"Strength")</x:f>
        <x:v>18</x:v>
      </x:c>
    </x:row>
    <x:row r="11">
      <x:c r="A11" s="41" t="str">
        <x:v>BURN-550-700</x:v>
      </x:c>
      <x:c r="B11" s="41" t="str">
        <x:v>Burnsport</x:v>
      </x:c>
      <x:c r="C11" s="41" t="str">
        <x:v>550K-700K</x:v>
      </x:c>
      <x:c r="D11" s="42" t="n">
        <x:v>550000</x:v>
      </x:c>
      <x:c r="E11" s="42" t="n">
        <x:v>700000</x:v>
      </x:c>
      <x:c r="F11" s="42" t="n">
        <x:f>(D11+E11)/2</x:f>
        <x:v>625000</x:v>
      </x:c>
      <x:c r="G11" s="42" t="n">
        <x:f>SUMIFS('Automation Allocation'!$R$3:$R$282,'Automation Allocation'!$A$3:$A$282,A11)</x:f>
        <x:v>653864.3999999999</x:v>
      </x:c>
      <x:c r="H11" s="42" t="n">
        <x:f>G11-F11</x:f>
        <x:v>28864.399999999907</x:v>
      </x:c>
      <x:c r="I11" s="41" t="str">
        <x:f>IF(AND(G11&gt;=D11,G11&lt;=E11),"WITHIN RANGE","CHECK")</x:f>
        <x:v>WITHIN RANGE</x:v>
      </x:c>
      <x:c r="J11" s="43" t="n">
        <x:f>SUMIFS('Automation Allocation'!$M$3:$M$282,'Automation Allocation'!$A$3:$A$282,A11)</x:f>
        <x:v>129</x:v>
      </x:c>
      <x:c r="K11" s="43" t="n">
        <x:f>SUMIFS('Automation Allocation'!$M$3:$M$282,'Automation Allocation'!$A$3:$A$282,A11,'Automation Allocation'!$G$3:$G$282,"Cardio")</x:f>
        <x:v>20</x:v>
      </x:c>
      <x:c r="L11" s="43" t="n">
        <x:f>SUMIFS('Automation Allocation'!$M$3:$M$282,'Automation Allocation'!$A$3:$A$282,A11,'Automation Allocation'!$G$3:$G$282,"Strength")</x:f>
        <x:v>22</x:v>
      </x:c>
    </x:row>
    <x:row r="12">
      <x:c r="A12" s="40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</x:row>
    <x:row r="14">
      <x:c r="A14" s="20" t="str">
        <x:v>Current-price verification snapshot</x:v>
      </x:c>
      <x:c r="B14" s="20" t="str">
        <x:v>Profile ID</x:v>
      </x:c>
      <x:c r="C14" s="20" t="str">
        <x:v>Expected Total incl. VAT</x:v>
      </x:c>
      <x:c r="D14" s="20" t="str">
        <x:v>Purpose</x:v>
      </x:c>
      <x:c r="E14" s="40"/>
      <x:c r="F14" s="40"/>
      <x:c r="G14" s="40"/>
      <x:c r="H14" s="40"/>
      <x:c r="I14" s="40"/>
      <x:c r="J14" s="40"/>
      <x:c r="K14" s="40"/>
      <x:c r="L14" s="40"/>
    </x:row>
    <x:row r="15">
      <x:c r="A15" s="40" t="str">
        <x:v>Verified from current source prices</x:v>
      </x:c>
      <x:c r="B15" s="40" t="str">
        <x:v>PREM-250-299</x:v>
      </x:c>
      <x:c r="C15" s="44" t="n">
        <x:v>285946.5</x:v>
      </x:c>
      <x:c r="D15" s="40" t="str">
        <x:v>Cross-check against formula total</x:v>
      </x:c>
      <x:c r="E15" s="40"/>
      <x:c r="F15" s="40"/>
      <x:c r="G15" s="40"/>
      <x:c r="H15" s="40"/>
      <x:c r="I15" s="40"/>
      <x:c r="J15" s="40"/>
      <x:c r="K15" s="40"/>
      <x:c r="L15" s="40"/>
    </x:row>
    <x:row r="16">
      <x:c r="A16" s="40" t="str">
        <x:v>Verified from current source prices</x:v>
      </x:c>
      <x:c r="B16" s="40" t="str">
        <x:v>PREM-300-399</x:v>
      </x:c>
      <x:c r="C16" s="44" t="n">
        <x:v>350416.5</x:v>
      </x:c>
      <x:c r="D16" s="40" t="str">
        <x:v>Cross-check against formula total</x:v>
      </x:c>
      <x:c r="E16" s="40"/>
      <x:c r="F16" s="40"/>
      <x:c r="G16" s="40"/>
      <x:c r="H16" s="40"/>
      <x:c r="I16" s="40"/>
      <x:c r="J16" s="40"/>
      <x:c r="K16" s="40"/>
      <x:c r="L16" s="40"/>
    </x:row>
    <x:row r="17">
      <x:c r="A17" s="40" t="str">
        <x:v>Verified from current source prices</x:v>
      </x:c>
      <x:c r="B17" s="40" t="str">
        <x:v>PREM-400-500</x:v>
      </x:c>
      <x:c r="C17" s="44" t="n">
        <x:v>458713.5</x:v>
      </x:c>
      <x:c r="D17" s="40" t="str">
        <x:v>Cross-check against formula total</x:v>
      </x:c>
      <x:c r="E17" s="40"/>
      <x:c r="F17" s="40"/>
      <x:c r="G17" s="40"/>
      <x:c r="H17" s="40"/>
      <x:c r="I17" s="40"/>
      <x:c r="J17" s="40"/>
      <x:c r="K17" s="40"/>
      <x:c r="L17" s="40"/>
    </x:row>
    <x:row r="18">
      <x:c r="A18" s="40" t="str">
        <x:v>Verified from current source prices</x:v>
      </x:c>
      <x:c r="B18" s="40" t="str">
        <x:v>BURN-350-449</x:v>
      </x:c>
      <x:c r="C18" s="44" t="n">
        <x:v>439315.38</x:v>
      </x:c>
      <x:c r="D18" s="40" t="str">
        <x:v>Cross-check against formula total</x:v>
      </x:c>
      <x:c r="E18" s="40"/>
      <x:c r="F18" s="40"/>
      <x:c r="G18" s="40"/>
      <x:c r="H18" s="40"/>
      <x:c r="I18" s="40"/>
      <x:c r="J18" s="40"/>
      <x:c r="K18" s="40"/>
      <x:c r="L18" s="40"/>
    </x:row>
    <x:row r="19">
      <x:c r="A19" s="40" t="str">
        <x:v>Verified from current source prices</x:v>
      </x:c>
      <x:c r="B19" s="40" t="str">
        <x:v>BURN-450-549</x:v>
      </x:c>
      <x:c r="C19" s="44" t="n">
        <x:v>544803</x:v>
      </x:c>
      <x:c r="D19" s="40" t="str">
        <x:v>Cross-check against formula total</x:v>
      </x:c>
      <x:c r="E19" s="40"/>
      <x:c r="F19" s="40"/>
      <x:c r="G19" s="40"/>
      <x:c r="H19" s="40"/>
      <x:c r="I19" s="40"/>
      <x:c r="J19" s="40"/>
      <x:c r="K19" s="40"/>
      <x:c r="L19" s="40"/>
    </x:row>
    <x:row r="20">
      <x:c r="A20" s="40" t="str">
        <x:v>Verified from current source prices</x:v>
      </x:c>
      <x:c r="B20" s="40" t="str">
        <x:v>BURN-550-700</x:v>
      </x:c>
      <x:c r="C20" s="44" t="n">
        <x:v>653864.4</x:v>
      </x:c>
      <x:c r="D20" s="40" t="str">
        <x:v>Cross-check against formula total</x:v>
      </x:c>
      <x:c r="E20" s="40"/>
      <x:c r="F20" s="40"/>
      <x:c r="G20" s="40"/>
      <x:c r="H20" s="40"/>
      <x:c r="I20" s="40"/>
      <x:c r="J20" s="40"/>
      <x:c r="K20" s="40"/>
      <x:c r="L20" s="40"/>
    </x:row>
  </x:sheetData>
  <x:mergeCells>
    <x:mergeCell ref="A1:L1"/>
  </x:mergeCells>
  <x:conditionalFormatting sqref="I6:I11">
    <x:cfRule type="expression" dxfId="0" priority="1">
      <x:formula>I6="WITHIN RANGE"</x:formula>
    </x:cfRule>
    <x:cfRule type="expression" dxfId="1" priority="2">
      <x:formula>I6="CHECK"</x:formula>
    </x:cfRule>
  </x:conditionalFormatting>
  <x:conditionalFormatting sqref="H6:H11">
    <x:cfRule type="dataBar" priority="3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{5A79C3AA-3C7A-79F6-7BB3-74EC89974DA0}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5A79C3AA-3C7A-79F6-7BB3-74EC89974DA0}">
            <x14:dataBar gradient="1">
              <x14:cfvo type="min"/>
              <x14:cfvo type="max"/>
              <x14:fillColor rgb="FF156082"/>
            </x14:dataBar>
          </x14:cfRule>
          <xm:sqref>H6:H11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5" hidden="0" customWidth="1"/>
    <x:col min="4" max="4" width="12" hidden="0" customWidth="1"/>
    <x:col min="5" max="5" width="12" hidden="0" customWidth="1"/>
    <x:col min="6" max="6" width="10" hidden="0" customWidth="1"/>
    <x:col min="7" max="7" width="20" hidden="0" customWidth="1"/>
    <x:col min="8" max="8" width="28" hidden="0" customWidth="1"/>
    <x:col min="9" max="9" width="34" hidden="0" customWidth="1"/>
    <x:col min="10" max="10" width="16" hidden="0" customWidth="1"/>
    <x:col min="11" max="11" width="40" hidden="0" customWidth="1"/>
    <x:col min="12" max="12" width="12" hidden="0" customWidth="1"/>
    <x:col min="13" max="13" width="8" hidden="0" customWidth="1"/>
    <x:col min="14" max="14" width="14" hidden="0" customWidth="1"/>
    <x:col min="15" max="15" width="14" hidden="0" customWidth="1"/>
    <x:col min="16" max="16" width="8" hidden="0" customWidth="1"/>
    <x:col min="17" max="17" width="12" hidden="0" customWidth="1"/>
    <x:col min="18" max="18" width="17" hidden="0" customWidth="1"/>
    <x:col min="19" max="19" width="30" hidden="0" customWidth="1"/>
    <x:col min="20" max="20" width="9" hidden="0" customWidth="1"/>
    <x:col min="21" max="21" width="11" hidden="0" customWidth="1"/>
    <x:col min="22" max="22" width="54" hidden="0" customWidth="1"/>
  </x:cols>
  <x:sheetData>
    <x:row r="1" ht="28" customHeight="1">
      <x:c r="A1" s="5" t="str">
        <x:v>Machine-readable product allocation by brand and budget range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>
      <x:c r="A2" s="20" t="str">
        <x:v>Profile ID</x:v>
      </x:c>
      <x:c r="B2" s="20" t="str">
        <x:v>Brand</x:v>
      </x:c>
      <x:c r="C2" s="20" t="str">
        <x:v>Budget Range</x:v>
      </x:c>
      <x:c r="D2" s="20" t="str">
        <x:v>Budget Min</x:v>
      </x:c>
      <x:c r="E2" s="20" t="str">
        <x:v>Budget Max</x:v>
      </x:c>
      <x:c r="F2" s="20" t="str">
        <x:v>Section Order</x:v>
      </x:c>
      <x:c r="G2" s="20" t="str">
        <x:v>Section</x:v>
      </x:c>
      <x:c r="H2" s="20" t="str">
        <x:v>Equipment Role</x:v>
      </x:c>
      <x:c r="I2" s="20" t="str">
        <x:v>Automation Role Key</x:v>
      </x:c>
      <x:c r="J2" s="20" t="str">
        <x:v>Product Code</x:v>
      </x:c>
      <x:c r="K2" s="20" t="str">
        <x:v>Product Name</x:v>
      </x:c>
      <x:c r="L2" s="20" t="str">
        <x:v>Product Brand</x:v>
      </x:c>
      <x:c r="M2" s="20" t="str">
        <x:v>Qty</x:v>
      </x:c>
      <x:c r="N2" s="20" t="str">
        <x:v>Unit Price AED</x:v>
      </x:c>
      <x:c r="O2" s="20" t="str">
        <x:v>Line Subtotal</x:v>
      </x:c>
      <x:c r="P2" s="20" t="str">
        <x:v>VAT %</x:v>
      </x:c>
      <x:c r="Q2" s="20" t="str">
        <x:v>VAT Amount</x:v>
      </x:c>
      <x:c r="R2" s="20" t="str">
        <x:v>Line Total incl VAT</x:v>
      </x:c>
      <x:c r="S2" s="20" t="str">
        <x:v>Selection Mode</x:v>
      </x:c>
      <x:c r="T2" s="20" t="str">
        <x:v>Priority</x:v>
      </x:c>
      <x:c r="U2" s="20" t="str">
        <x:v>Review Flag</x:v>
      </x:c>
      <x:c r="V2" s="20" t="str">
        <x:v>Notes</x:v>
      </x:c>
    </x:row>
    <x:row r="3">
      <x:c r="A3" s="41" t="str">
        <x:v>PREM-250-299</x:v>
      </x:c>
      <x:c r="B3" s="41" t="str">
        <x:v>Premier</x:v>
      </x:c>
      <x:c r="C3" s="41" t="str">
        <x:v>250K-299K</x:v>
      </x:c>
      <x:c r="D3" s="41" t="n">
        <x:v>250000</x:v>
      </x:c>
      <x:c r="E3" s="41" t="n">
        <x:v>299999</x:v>
      </x:c>
      <x:c r="F3" s="41" t="n">
        <x:v>1</x:v>
      </x:c>
      <x:c r="G3" s="41" t="str">
        <x:v>Cardio</x:v>
      </x:c>
      <x:c r="H3" s="41" t="str">
        <x:v>Treadmill</x:v>
      </x:c>
      <x:c r="I3" s="41" t="str">
        <x:v>cardio_treadmill</x:v>
      </x:c>
      <x:c r="J3" s="41" t="str">
        <x:v>6835TA-LED</x:v>
      </x:c>
      <x:c r="K3" s="41" t="str">
        <x:v>Treadmill LED Screen</x:v>
      </x:c>
      <x:c r="L3" s="41" t="str">
        <x:v>Premier</x:v>
      </x:c>
      <x:c r="M3" s="41" t="n">
        <x:v>5</x:v>
      </x:c>
      <x:c r="N3" s="42" t="n">
        <x:v>5850</x:v>
      </x:c>
      <x:c r="O3" s="42" t="n">
        <x:f>M3*N3</x:f>
        <x:v>29250</x:v>
      </x:c>
      <x:c r="P3" s="50" t="n">
        <x:v>0.05</x:v>
      </x:c>
      <x:c r="Q3" s="42" t="n">
        <x:f>O3*P3</x:f>
        <x:v>1462.5</x:v>
      </x:c>
      <x:c r="R3" s="42" t="n">
        <x:f>O3+Q3</x:f>
        <x:v>30712.5</x:v>
      </x:c>
      <x:c r="S3" s="41" t="str">
        <x:v>Fixed role; quantity scales by budget</x:v>
      </x:c>
      <x:c r="T3" s="41" t="n">
        <x:v>1</x:v>
      </x:c>
      <x:c r="U3" s="41" t="str">
        <x:v>No</x:v>
      </x:c>
      <x:c r="V3" s="41" t="str"/>
    </x:row>
    <x:row r="4">
      <x:c r="A4" s="41" t="str">
        <x:v>PREM-250-299</x:v>
      </x:c>
      <x:c r="B4" s="41" t="str">
        <x:v>Premier</x:v>
      </x:c>
      <x:c r="C4" s="41" t="str">
        <x:v>250K-299K</x:v>
      </x:c>
      <x:c r="D4" s="41" t="n">
        <x:v>250000</x:v>
      </x:c>
      <x:c r="E4" s="41" t="n">
        <x:v>299999</x:v>
      </x:c>
      <x:c r="F4" s="41" t="n">
        <x:v>1</x:v>
      </x:c>
      <x:c r="G4" s="41" t="str">
        <x:v>Cardio</x:v>
      </x:c>
      <x:c r="H4" s="41" t="str">
        <x:v>Cross Trainer</x:v>
      </x:c>
      <x:c r="I4" s="41" t="str">
        <x:v>cardio_cross_trainer</x:v>
      </x:c>
      <x:c r="J4" s="41" t="str">
        <x:v>E38001</x:v>
      </x:c>
      <x:c r="K4" s="41" t="str">
        <x:v>Elliptical Bike Commercial</x:v>
      </x:c>
      <x:c r="L4" s="41" t="str">
        <x:v>Premier</x:v>
      </x:c>
      <x:c r="M4" s="41" t="n">
        <x:v>2</x:v>
      </x:c>
      <x:c r="N4" s="42" t="n">
        <x:v>7500</x:v>
      </x:c>
      <x:c r="O4" s="42" t="n">
        <x:f>M4*N4</x:f>
        <x:v>15000</x:v>
      </x:c>
      <x:c r="P4" s="50" t="n">
        <x:v>0.05</x:v>
      </x:c>
      <x:c r="Q4" s="42" t="n">
        <x:f>O4*P4</x:f>
        <x:v>750</x:v>
      </x:c>
      <x:c r="R4" s="42" t="n">
        <x:f>O4+Q4</x:f>
        <x:v>15750</x:v>
      </x:c>
      <x:c r="S4" s="41" t="str">
        <x:v>Fixed role; quantity scales by budget</x:v>
      </x:c>
      <x:c r="T4" s="41" t="n">
        <x:v>2</x:v>
      </x:c>
      <x:c r="U4" s="41" t="str">
        <x:v>No</x:v>
      </x:c>
      <x:c r="V4" s="41" t="str"/>
    </x:row>
    <x:row r="5">
      <x:c r="A5" s="41" t="str">
        <x:v>PREM-250-299</x:v>
      </x:c>
      <x:c r="B5" s="41" t="str">
        <x:v>Premier</x:v>
      </x:c>
      <x:c r="C5" s="41" t="str">
        <x:v>250K-299K</x:v>
      </x:c>
      <x:c r="D5" s="41" t="n">
        <x:v>250000</x:v>
      </x:c>
      <x:c r="E5" s="41" t="n">
        <x:v>299999</x:v>
      </x:c>
      <x:c r="F5" s="41" t="n">
        <x:v>1</x:v>
      </x:c>
      <x:c r="G5" s="41" t="str">
        <x:v>Cardio</x:v>
      </x:c>
      <x:c r="H5" s="41" t="str">
        <x:v>Upright Bike</x:v>
      </x:c>
      <x:c r="I5" s="41" t="str">
        <x:v>cardio_upright_bike</x:v>
      </x:c>
      <x:c r="J5" s="41" t="str">
        <x:v>B12101</x:v>
      </x:c>
      <x:c r="K5" s="41" t="str">
        <x:v>Upright Bike Commercial</x:v>
      </x:c>
      <x:c r="L5" s="41" t="str">
        <x:v>Premier</x:v>
      </x:c>
      <x:c r="M5" s="41" t="n">
        <x:v>1</x:v>
      </x:c>
      <x:c r="N5" s="42" t="n">
        <x:v>4750</x:v>
      </x:c>
      <x:c r="O5" s="42" t="n">
        <x:f>M5*N5</x:f>
        <x:v>4750</x:v>
      </x:c>
      <x:c r="P5" s="50" t="n">
        <x:v>0.05</x:v>
      </x:c>
      <x:c r="Q5" s="42" t="n">
        <x:f>O5*P5</x:f>
        <x:v>237.5</x:v>
      </x:c>
      <x:c r="R5" s="42" t="n">
        <x:f>O5+Q5</x:f>
        <x:v>4987.5</x:v>
      </x:c>
      <x:c r="S5" s="41" t="str">
        <x:v>Fixed role; quantity scales by budget</x:v>
      </x:c>
      <x:c r="T5" s="41" t="n">
        <x:v>3</x:v>
      </x:c>
      <x:c r="U5" s="41" t="str">
        <x:v>No</x:v>
      </x:c>
      <x:c r="V5" s="41" t="str"/>
    </x:row>
    <x:row r="6">
      <x:c r="A6" s="41" t="str">
        <x:v>PREM-250-299</x:v>
      </x:c>
      <x:c r="B6" s="41" t="str">
        <x:v>Premier</x:v>
      </x:c>
      <x:c r="C6" s="41" t="str">
        <x:v>250K-299K</x:v>
      </x:c>
      <x:c r="D6" s="41" t="n">
        <x:v>250000</x:v>
      </x:c>
      <x:c r="E6" s="41" t="n">
        <x:v>299999</x:v>
      </x:c>
      <x:c r="F6" s="41" t="n">
        <x:v>1</x:v>
      </x:c>
      <x:c r="G6" s="41" t="str">
        <x:v>Cardio</x:v>
      </x:c>
      <x:c r="H6" s="41" t="str">
        <x:v>Recumbent Bike</x:v>
      </x:c>
      <x:c r="I6" s="41" t="str">
        <x:v>cardio_recumbent_bike</x:v>
      </x:c>
      <x:c r="J6" s="41" t="str">
        <x:v>R12001</x:v>
      </x:c>
      <x:c r="K6" s="41" t="str">
        <x:v>Recumbent Bike Commercial</x:v>
      </x:c>
      <x:c r="L6" s="41" t="str">
        <x:v>Premier</x:v>
      </x:c>
      <x:c r="M6" s="41" t="n">
        <x:v>1</x:v>
      </x:c>
      <x:c r="N6" s="42" t="n">
        <x:v>5500</x:v>
      </x:c>
      <x:c r="O6" s="42" t="n">
        <x:f>M6*N6</x:f>
        <x:v>5500</x:v>
      </x:c>
      <x:c r="P6" s="50" t="n">
        <x:v>0.05</x:v>
      </x:c>
      <x:c r="Q6" s="42" t="n">
        <x:f>O6*P6</x:f>
        <x:v>275</x:v>
      </x:c>
      <x:c r="R6" s="42" t="n">
        <x:f>O6+Q6</x:f>
        <x:v>5775</x:v>
      </x:c>
      <x:c r="S6" s="41" t="str">
        <x:v>Fixed role; quantity scales by budget</x:v>
      </x:c>
      <x:c r="T6" s="41" t="n">
        <x:v>4</x:v>
      </x:c>
      <x:c r="U6" s="41" t="str">
        <x:v>No</x:v>
      </x:c>
      <x:c r="V6" s="41" t="str"/>
    </x:row>
    <x:row r="7">
      <x:c r="A7" s="41" t="str">
        <x:v>PREM-250-299</x:v>
      </x:c>
      <x:c r="B7" s="41" t="str">
        <x:v>Premier</x:v>
      </x:c>
      <x:c r="C7" s="41" t="str">
        <x:v>250K-299K</x:v>
      </x:c>
      <x:c r="D7" s="41" t="n">
        <x:v>250000</x:v>
      </x:c>
      <x:c r="E7" s="41" t="n">
        <x:v>299999</x:v>
      </x:c>
      <x:c r="F7" s="41" t="n">
        <x:v>1</x:v>
      </x:c>
      <x:c r="G7" s="41" t="str">
        <x:v>Cardio</x:v>
      </x:c>
      <x:c r="H7" s="41" t="str">
        <x:v>Spinning Bike</x:v>
      </x:c>
      <x:c r="I7" s="41" t="str">
        <x:v>cardio_spinning_bike</x:v>
      </x:c>
      <x:c r="J7" s="41" t="str">
        <x:v>CD-006</x:v>
      </x:c>
      <x:c r="K7" s="41" t="str">
        <x:v>Spinning Bike</x:v>
      </x:c>
      <x:c r="L7" s="41" t="str">
        <x:v>Burnsport</x:v>
      </x:c>
      <x:c r="M7" s="41" t="n">
        <x:v>3</x:v>
      </x:c>
      <x:c r="N7" s="42" t="n">
        <x:v>3500</x:v>
      </x:c>
      <x:c r="O7" s="42" t="n">
        <x:f>M7*N7</x:f>
        <x:v>10500</x:v>
      </x:c>
      <x:c r="P7" s="50" t="n">
        <x:v>0.05</x:v>
      </x:c>
      <x:c r="Q7" s="42" t="n">
        <x:f>O7*P7</x:f>
        <x:v>525</x:v>
      </x:c>
      <x:c r="R7" s="42" t="n">
        <x:f>O7+Q7</x:f>
        <x:v>11025</x:v>
      </x:c>
      <x:c r="S7" s="41" t="str">
        <x:v>Fixed role; quantity scales by budget</x:v>
      </x:c>
      <x:c r="T7" s="41" t="n">
        <x:v>5</x:v>
      </x:c>
      <x:c r="U7" s="41" t="str">
        <x:v>Yes</x:v>
      </x:c>
      <x:c r="V7" s="41" t="str">
        <x:v>Premier commercial spinning bike is not present in the uploaded source; Burnsport CD-006 is the current fallback.</x:v>
      </x:c>
    </x:row>
    <x:row r="8">
      <x:c r="A8" s="41" t="str">
        <x:v>PREM-250-299</x:v>
      </x:c>
      <x:c r="B8" s="41" t="str">
        <x:v>Premier</x:v>
      </x:c>
      <x:c r="C8" s="41" t="str">
        <x:v>250K-299K</x:v>
      </x:c>
      <x:c r="D8" s="41" t="n">
        <x:v>250000</x:v>
      </x:c>
      <x:c r="E8" s="41" t="n">
        <x:v>299999</x:v>
      </x:c>
      <x:c r="F8" s="41" t="n">
        <x:v>1</x:v>
      </x:c>
      <x:c r="G8" s="41" t="str">
        <x:v>Cardio</x:v>
      </x:c>
      <x:c r="H8" s="41" t="str">
        <x:v>Stair Master</x:v>
      </x:c>
      <x:c r="I8" s="41" t="str">
        <x:v>cardio_stair_master</x:v>
      </x:c>
      <x:c r="J8" s="41" t="str">
        <x:v>PR159</x:v>
      </x:c>
      <x:c r="K8" s="41" t="str">
        <x:v>Stair Master</x:v>
      </x:c>
      <x:c r="L8" s="41" t="str">
        <x:v>Premier</x:v>
      </x:c>
      <x:c r="M8" s="41" t="n">
        <x:v>1</x:v>
      </x:c>
      <x:c r="N8" s="42" t="n">
        <x:v>9500</x:v>
      </x:c>
      <x:c r="O8" s="42" t="n">
        <x:f>M8*N8</x:f>
        <x:v>9500</x:v>
      </x:c>
      <x:c r="P8" s="50" t="n">
        <x:v>0.05</x:v>
      </x:c>
      <x:c r="Q8" s="42" t="n">
        <x:f>O8*P8</x:f>
        <x:v>475</x:v>
      </x:c>
      <x:c r="R8" s="42" t="n">
        <x:f>O8+Q8</x:f>
        <x:v>9975</x:v>
      </x:c>
      <x:c r="S8" s="41" t="str">
        <x:v>Fixed role; quantity scales by budget</x:v>
      </x:c>
      <x:c r="T8" s="41" t="n">
        <x:v>6</x:v>
      </x:c>
      <x:c r="U8" s="41" t="str">
        <x:v>No</x:v>
      </x:c>
      <x:c r="V8" s="41" t="str"/>
    </x:row>
    <x:row r="9">
      <x:c r="A9" s="41" t="str">
        <x:v>PREM-250-299</x:v>
      </x:c>
      <x:c r="B9" s="41" t="str">
        <x:v>Premier</x:v>
      </x:c>
      <x:c r="C9" s="41" t="str">
        <x:v>250K-299K</x:v>
      </x:c>
      <x:c r="D9" s="41" t="n">
        <x:v>250000</x:v>
      </x:c>
      <x:c r="E9" s="41" t="n">
        <x:v>299999</x:v>
      </x:c>
      <x:c r="F9" s="41" t="n">
        <x:v>1</x:v>
      </x:c>
      <x:c r="G9" s="41" t="str">
        <x:v>Cardio</x:v>
      </x:c>
      <x:c r="H9" s="41" t="str">
        <x:v>Rower</x:v>
      </x:c>
      <x:c r="I9" s="41" t="str">
        <x:v>cardio_rower</x:v>
      </x:c>
      <x:c r="J9" s="41" t="str">
        <x:v>PR536</x:v>
      </x:c>
      <x:c r="K9" s="41" t="str">
        <x:v>Rower</x:v>
      </x:c>
      <x:c r="L9" s="41" t="str">
        <x:v>Premier</x:v>
      </x:c>
      <x:c r="M9" s="41" t="n">
        <x:v>1</x:v>
      </x:c>
      <x:c r="N9" s="42" t="n">
        <x:v>2750</x:v>
      </x:c>
      <x:c r="O9" s="42" t="n">
        <x:f>M9*N9</x:f>
        <x:v>2750</x:v>
      </x:c>
      <x:c r="P9" s="50" t="n">
        <x:v>0.05</x:v>
      </x:c>
      <x:c r="Q9" s="42" t="n">
        <x:f>O9*P9</x:f>
        <x:v>137.5</x:v>
      </x:c>
      <x:c r="R9" s="42" t="n">
        <x:f>O9+Q9</x:f>
        <x:v>2887.5</x:v>
      </x:c>
      <x:c r="S9" s="41" t="str">
        <x:v>Fixed role; quantity scales by budget</x:v>
      </x:c>
      <x:c r="T9" s="41" t="n">
        <x:v>7</x:v>
      </x:c>
      <x:c r="U9" s="41" t="str">
        <x:v>No</x:v>
      </x:c>
      <x:c r="V9" s="41" t="str"/>
    </x:row>
    <x:row r="10">
      <x:c r="A10" s="41" t="str">
        <x:v>PREM-250-299</x:v>
      </x:c>
      <x:c r="B10" s="41" t="str">
        <x:v>Premier</x:v>
      </x:c>
      <x:c r="C10" s="41" t="str">
        <x:v>250K-299K</x:v>
      </x:c>
      <x:c r="D10" s="41" t="n">
        <x:v>250000</x:v>
      </x:c>
      <x:c r="E10" s="41" t="n">
        <x:v>299999</x:v>
      </x:c>
      <x:c r="F10" s="41" t="n">
        <x:v>1</x:v>
      </x:c>
      <x:c r="G10" s="41" t="str">
        <x:v>Cardio</x:v>
      </x:c>
      <x:c r="H10" s="41" t="str">
        <x:v>SkiErg</x:v>
      </x:c>
      <x:c r="I10" s="41" t="str">
        <x:v>cardio_skierg</x:v>
      </x:c>
      <x:c r="J10" s="41" t="str">
        <x:v>PR432</x:v>
      </x:c>
      <x:c r="K10" s="41" t="str">
        <x:v>Skeirg</x:v>
      </x:c>
      <x:c r="L10" s="41" t="str">
        <x:v>Premier</x:v>
      </x:c>
      <x:c r="M10" s="41" t="n">
        <x:v>1</x:v>
      </x:c>
      <x:c r="N10" s="42" t="n">
        <x:v>2850</x:v>
      </x:c>
      <x:c r="O10" s="42" t="n">
        <x:f>M10*N10</x:f>
        <x:v>2850</x:v>
      </x:c>
      <x:c r="P10" s="50" t="n">
        <x:v>0.05</x:v>
      </x:c>
      <x:c r="Q10" s="42" t="n">
        <x:f>O10*P10</x:f>
        <x:v>142.5</x:v>
      </x:c>
      <x:c r="R10" s="42" t="n">
        <x:f>O10+Q10</x:f>
        <x:v>2992.5</x:v>
      </x:c>
      <x:c r="S10" s="41" t="str">
        <x:v>Fixed role; quantity scales by budget</x:v>
      </x:c>
      <x:c r="T10" s="41" t="n">
        <x:v>8</x:v>
      </x:c>
      <x:c r="U10" s="41" t="str">
        <x:v>No</x:v>
      </x:c>
      <x:c r="V10" s="41" t="str"/>
    </x:row>
    <x:row r="11">
      <x:c r="A11" s="41" t="str">
        <x:v>PREM-250-299</x:v>
      </x:c>
      <x:c r="B11" s="41" t="str">
        <x:v>Premier</x:v>
      </x:c>
      <x:c r="C11" s="41" t="str">
        <x:v>250K-299K</x:v>
      </x:c>
      <x:c r="D11" s="41" t="n">
        <x:v>250000</x:v>
      </x:c>
      <x:c r="E11" s="41" t="n">
        <x:v>299999</x:v>
      </x:c>
      <x:c r="F11" s="41" t="n">
        <x:v>2</x:v>
      </x:c>
      <x:c r="G11" s="41" t="str">
        <x:v>Functional / Multi</x:v>
      </x:c>
      <x:c r="H11" s="41" t="str">
        <x:v>Smith Machine</x:v>
      </x:c>
      <x:c r="I11" s="41" t="str">
        <x:v>functional_multi_smith_machine</x:v>
      </x:c>
      <x:c r="J11" s="41" t="str">
        <x:v>APL01</x:v>
      </x:c>
      <x:c r="K11" s="41" t="str">
        <x:v>Smith Machine</x:v>
      </x:c>
      <x:c r="L11" s="41" t="str">
        <x:v>Premier</x:v>
      </x:c>
      <x:c r="M11" s="41" t="n">
        <x:v>1</x:v>
      </x:c>
      <x:c r="N11" s="42" t="n">
        <x:v>6560</x:v>
      </x:c>
      <x:c r="O11" s="42" t="n">
        <x:f>M11*N11</x:f>
        <x:v>6560</x:v>
      </x:c>
      <x:c r="P11" s="50" t="n">
        <x:v>0.05</x:v>
      </x:c>
      <x:c r="Q11" s="42" t="n">
        <x:f>O11*P11</x:f>
        <x:v>328</x:v>
      </x:c>
      <x:c r="R11" s="42" t="n">
        <x:f>O11+Q11</x:f>
        <x:v>6888</x:v>
      </x:c>
      <x:c r="S11" s="41" t="str">
        <x:v>Mandatory exactly 1</x:v>
      </x:c>
      <x:c r="T11" s="41" t="n">
        <x:v>1</x:v>
      </x:c>
      <x:c r="U11" s="41" t="str">
        <x:v>No</x:v>
      </x:c>
      <x:c r="V11" s="41" t="str">
        <x:v>Smith is mandatory in every full-gym profile.</x:v>
      </x:c>
    </x:row>
    <x:row r="12">
      <x:c r="A12" s="41" t="str">
        <x:v>PREM-250-299</x:v>
      </x:c>
      <x:c r="B12" s="41" t="str">
        <x:v>Premier</x:v>
      </x:c>
      <x:c r="C12" s="41" t="str">
        <x:v>250K-299K</x:v>
      </x:c>
      <x:c r="D12" s="41" t="n">
        <x:v>250000</x:v>
      </x:c>
      <x:c r="E12" s="41" t="n">
        <x:v>299999</x:v>
      </x:c>
      <x:c r="F12" s="41" t="n">
        <x:v>2</x:v>
      </x:c>
      <x:c r="G12" s="41" t="str">
        <x:v>Functional / Multi</x:v>
      </x:c>
      <x:c r="H12" s="41" t="str">
        <x:v>Functional Trainer</x:v>
      </x:c>
      <x:c r="I12" s="41" t="str">
        <x:v>functional_multi_functional_trainer</x:v>
      </x:c>
      <x:c r="J12" s="41" t="str">
        <x:v>APN37</x:v>
      </x:c>
      <x:c r="K12" s="41" t="str">
        <x:v>Functional Trainer &amp; Accessories</x:v>
      </x:c>
      <x:c r="L12" s="41" t="str">
        <x:v>Premier</x:v>
      </x:c>
      <x:c r="M12" s="41" t="n">
        <x:v>1</x:v>
      </x:c>
      <x:c r="N12" s="42" t="n">
        <x:v>10070</x:v>
      </x:c>
      <x:c r="O12" s="42" t="n">
        <x:f>M12*N12</x:f>
        <x:v>10070</x:v>
      </x:c>
      <x:c r="P12" s="50" t="n">
        <x:v>0.05</x:v>
      </x:c>
      <x:c r="Q12" s="42" t="n">
        <x:f>O12*P12</x:f>
        <x:v>503.5</x:v>
      </x:c>
      <x:c r="R12" s="42" t="n">
        <x:f>O12+Q12</x:f>
        <x:v>10573.5</x:v>
      </x:c>
      <x:c r="S12" s="41" t="str">
        <x:v>Mandatory exactly 1</x:v>
      </x:c>
      <x:c r="T12" s="41" t="n">
        <x:v>2</x:v>
      </x:c>
      <x:c r="U12" s="41" t="str">
        <x:v>No</x:v>
      </x:c>
      <x:c r="V12" s="41" t="str">
        <x:v>Functional Trainer is exactly 1.</x:v>
      </x:c>
    </x:row>
    <x:row r="13">
      <x:c r="A13" s="41" t="str">
        <x:v>PREM-250-299</x:v>
      </x:c>
      <x:c r="B13" s="41" t="str">
        <x:v>Premier</x:v>
      </x:c>
      <x:c r="C13" s="41" t="str">
        <x:v>250K-299K</x:v>
      </x:c>
      <x:c r="D13" s="41" t="n">
        <x:v>250000</x:v>
      </x:c>
      <x:c r="E13" s="41" t="n">
        <x:v>299999</x:v>
      </x:c>
      <x:c r="F13" s="41" t="n">
        <x:v>2</x:v>
      </x:c>
      <x:c r="G13" s="41" t="str">
        <x:v>Functional / Multi</x:v>
      </x:c>
      <x:c r="H13" s="41" t="str">
        <x:v>5 Station</x:v>
      </x:c>
      <x:c r="I13" s="41" t="str">
        <x:v>functional_multi_5_station</x:v>
      </x:c>
      <x:c r="J13" s="41" t="str">
        <x:v>APN42</x:v>
      </x:c>
      <x:c r="K13" s="41" t="str">
        <x:v>5 Station</x:v>
      </x:c>
      <x:c r="L13" s="41" t="str">
        <x:v>Premier</x:v>
      </x:c>
      <x:c r="M13" s="41" t="n">
        <x:v>1</x:v>
      </x:c>
      <x:c r="N13" s="42" t="n">
        <x:v>27150</x:v>
      </x:c>
      <x:c r="O13" s="42" t="n">
        <x:f>M13*N13</x:f>
        <x:v>27150</x:v>
      </x:c>
      <x:c r="P13" s="50" t="n">
        <x:v>0.05</x:v>
      </x:c>
      <x:c r="Q13" s="42" t="n">
        <x:f>O13*P13</x:f>
        <x:v>1357.5</x:v>
      </x:c>
      <x:c r="R13" s="42" t="n">
        <x:f>O13+Q13</x:f>
        <x:v>28507.5</x:v>
      </x:c>
      <x:c r="S13" s="41" t="str">
        <x:v>Budget-tier replacement</x:v>
      </x:c>
      <x:c r="T13" s="41" t="n">
        <x:v>3</x:v>
      </x:c>
      <x:c r="U13" s="41" t="str">
        <x:v>No</x:v>
      </x:c>
      <x:c r="V13" s="41" t="str">
        <x:v>Only 4 / 5 / 8 station are allowed; never combine station sizes.</x:v>
      </x:c>
    </x:row>
    <x:row r="14">
      <x:c r="A14" s="41" t="str">
        <x:v>PREM-250-299</x:v>
      </x:c>
      <x:c r="B14" s="41" t="str">
        <x:v>Premier</x:v>
      </x:c>
      <x:c r="C14" s="41" t="str">
        <x:v>250K-299K</x:v>
      </x:c>
      <x:c r="D14" s="41" t="n">
        <x:v>250000</x:v>
      </x:c>
      <x:c r="E14" s="41" t="n">
        <x:v>299999</x:v>
      </x:c>
      <x:c r="F14" s="41" t="n">
        <x:v>3</x:v>
      </x:c>
      <x:c r="G14" s="41" t="str">
        <x:v>Strength</x:v>
      </x:c>
      <x:c r="H14" s="41" t="str">
        <x:v>Chest</x:v>
      </x:c>
      <x:c r="I14" s="41" t="str">
        <x:v>strength_chest</x:v>
      </x:c>
      <x:c r="J14" s="41" t="str">
        <x:v>APN35</x:v>
      </x:c>
      <x:c r="K14" s="41" t="str">
        <x:v>Chest Press</x:v>
      </x:c>
      <x:c r="L14" s="41" t="str">
        <x:v>Premier</x:v>
      </x:c>
      <x:c r="M14" s="41" t="n">
        <x:v>1</x:v>
      </x:c>
      <x:c r="N14" s="42" t="n">
        <x:v>6470</x:v>
      </x:c>
      <x:c r="O14" s="42" t="n">
        <x:f>M14*N14</x:f>
        <x:v>6470</x:v>
      </x:c>
      <x:c r="P14" s="50" t="n">
        <x:v>0.05</x:v>
      </x:c>
      <x:c r="Q14" s="42" t="n">
        <x:f>O14*P14</x:f>
        <x:v>323.5</x:v>
      </x:c>
      <x:c r="R14" s="42" t="n">
        <x:f>O14+Q14</x:f>
        <x:v>6793.5</x:v>
      </x:c>
      <x:c r="S14" s="41" t="str">
        <x:v>Series-substitutable default (APN/APL reference)</x:v>
      </x:c>
      <x:c r="T14" s="41" t="n">
        <x:v>1</x:v>
      </x:c>
      <x:c r="U14" s="41" t="str">
        <x:v>No</x:v>
      </x:c>
      <x:c r="V14" s="41" t="str">
        <x:v>Keep the movement/area; if user selects another approved Premier series, substitute the exact product from that series.</x:v>
      </x:c>
    </x:row>
    <x:row r="15">
      <x:c r="A15" s="41" t="str">
        <x:v>PREM-250-299</x:v>
      </x:c>
      <x:c r="B15" s="41" t="str">
        <x:v>Premier</x:v>
      </x:c>
      <x:c r="C15" s="41" t="str">
        <x:v>250K-299K</x:v>
      </x:c>
      <x:c r="D15" s="41" t="n">
        <x:v>250000</x:v>
      </x:c>
      <x:c r="E15" s="41" t="n">
        <x:v>299999</x:v>
      </x:c>
      <x:c r="F15" s="41" t="n">
        <x:v>3</x:v>
      </x:c>
      <x:c r="G15" s="41" t="str">
        <x:v>Strength</x:v>
      </x:c>
      <x:c r="H15" s="41" t="str">
        <x:v>Chest</x:v>
      </x:c>
      <x:c r="I15" s="41" t="str">
        <x:v>strength_chest</x:v>
      </x:c>
      <x:c r="J15" s="41" t="str">
        <x:v>APL06</x:v>
      </x:c>
      <x:c r="K15" s="41" t="str">
        <x:v>Incline Chest Press</x:v>
      </x:c>
      <x:c r="L15" s="41" t="str">
        <x:v>Premier</x:v>
      </x:c>
      <x:c r="M15" s="41" t="n">
        <x:v>1</x:v>
      </x:c>
      <x:c r="N15" s="42" t="n">
        <x:v>4660</x:v>
      </x:c>
      <x:c r="O15" s="42" t="n">
        <x:f>M15*N15</x:f>
        <x:v>4660</x:v>
      </x:c>
      <x:c r="P15" s="50" t="n">
        <x:v>0.05</x:v>
      </x:c>
      <x:c r="Q15" s="42" t="n">
        <x:f>O15*P15</x:f>
        <x:v>233</x:v>
      </x:c>
      <x:c r="R15" s="42" t="n">
        <x:f>O15+Q15</x:f>
        <x:v>4893</x:v>
      </x:c>
      <x:c r="S15" s="41" t="str">
        <x:v>Series-substitutable default (APN/APL reference)</x:v>
      </x:c>
      <x:c r="T15" s="41" t="n">
        <x:v>2</x:v>
      </x:c>
      <x:c r="U15" s="41" t="str">
        <x:v>No</x:v>
      </x:c>
      <x:c r="V15" s="41" t="str">
        <x:v>Keep the movement/area; if user selects another approved Premier series, substitute the exact product from that series.</x:v>
      </x:c>
    </x:row>
    <x:row r="16">
      <x:c r="A16" s="41" t="str">
        <x:v>PREM-250-299</x:v>
      </x:c>
      <x:c r="B16" s="41" t="str">
        <x:v>Premier</x:v>
      </x:c>
      <x:c r="C16" s="41" t="str">
        <x:v>250K-299K</x:v>
      </x:c>
      <x:c r="D16" s="41" t="n">
        <x:v>250000</x:v>
      </x:c>
      <x:c r="E16" s="41" t="n">
        <x:v>299999</x:v>
      </x:c>
      <x:c r="F16" s="41" t="n">
        <x:v>3</x:v>
      </x:c>
      <x:c r="G16" s="41" t="str">
        <x:v>Strength</x:v>
      </x:c>
      <x:c r="H16" s="41" t="str">
        <x:v>Chest</x:v>
      </x:c>
      <x:c r="I16" s="41" t="str">
        <x:v>strength_chest</x:v>
      </x:c>
      <x:c r="J16" s="41" t="str">
        <x:v>APL45</x:v>
      </x:c>
      <x:c r="K16" s="41" t="str">
        <x:v>Commercial Plate Loaded Incline Fly</x:v>
      </x:c>
      <x:c r="L16" s="41" t="str">
        <x:v>Premier</x:v>
      </x:c>
      <x:c r="M16" s="41" t="n">
        <x:v>1</x:v>
      </x:c>
      <x:c r="N16" s="42" t="n">
        <x:v>2680</x:v>
      </x:c>
      <x:c r="O16" s="42" t="n">
        <x:f>M16*N16</x:f>
        <x:v>2680</x:v>
      </x:c>
      <x:c r="P16" s="50" t="n">
        <x:v>0.05</x:v>
      </x:c>
      <x:c r="Q16" s="42" t="n">
        <x:f>O16*P16</x:f>
        <x:v>134</x:v>
      </x:c>
      <x:c r="R16" s="42" t="n">
        <x:f>O16+Q16</x:f>
        <x:v>2814</x:v>
      </x:c>
      <x:c r="S16" s="41" t="str">
        <x:v>Series-substitutable default (APN/APL reference)</x:v>
      </x:c>
      <x:c r="T16" s="41" t="n">
        <x:v>3</x:v>
      </x:c>
      <x:c r="U16" s="41" t="str">
        <x:v>No</x:v>
      </x:c>
      <x:c r="V16" s="41" t="str">
        <x:v>Keep the movement/area; if user selects another approved Premier series, substitute the exact product from that series.</x:v>
      </x:c>
    </x:row>
    <x:row r="17">
      <x:c r="A17" s="41" t="str">
        <x:v>PREM-250-299</x:v>
      </x:c>
      <x:c r="B17" s="41" t="str">
        <x:v>Premier</x:v>
      </x:c>
      <x:c r="C17" s="41" t="str">
        <x:v>250K-299K</x:v>
      </x:c>
      <x:c r="D17" s="41" t="n">
        <x:v>250000</x:v>
      </x:c>
      <x:c r="E17" s="41" t="n">
        <x:v>299999</x:v>
      </x:c>
      <x:c r="F17" s="41" t="n">
        <x:v>3</x:v>
      </x:c>
      <x:c r="G17" s="41" t="str">
        <x:v>Strength</x:v>
      </x:c>
      <x:c r="H17" s="41" t="str">
        <x:v>Shoulder</x:v>
      </x:c>
      <x:c r="I17" s="41" t="str">
        <x:v>strength_shoulder</x:v>
      </x:c>
      <x:c r="J17" s="41" t="str">
        <x:v>APN16</x:v>
      </x:c>
      <x:c r="K17" s="41" t="str">
        <x:v>Shoulder Press</x:v>
      </x:c>
      <x:c r="L17" s="41" t="str">
        <x:v>Premier</x:v>
      </x:c>
      <x:c r="M17" s="41" t="n">
        <x:v>1</x:v>
      </x:c>
      <x:c r="N17" s="42" t="n">
        <x:v>6140</x:v>
      </x:c>
      <x:c r="O17" s="42" t="n">
        <x:f>M17*N17</x:f>
        <x:v>6140</x:v>
      </x:c>
      <x:c r="P17" s="50" t="n">
        <x:v>0.05</x:v>
      </x:c>
      <x:c r="Q17" s="42" t="n">
        <x:f>O17*P17</x:f>
        <x:v>307</x:v>
      </x:c>
      <x:c r="R17" s="42" t="n">
        <x:f>O17+Q17</x:f>
        <x:v>6447</x:v>
      </x:c>
      <x:c r="S17" s="41" t="str">
        <x:v>Series-substitutable default (APN/APL reference)</x:v>
      </x:c>
      <x:c r="T17" s="41" t="n">
        <x:v>1</x:v>
      </x:c>
      <x:c r="U17" s="41" t="str">
        <x:v>No</x:v>
      </x:c>
      <x:c r="V17" s="41" t="str">
        <x:v>Keep the movement/area; if user selects another approved Premier series, substitute the exact product from that series.</x:v>
      </x:c>
    </x:row>
    <x:row r="18">
      <x:c r="A18" s="41" t="str">
        <x:v>PREM-250-299</x:v>
      </x:c>
      <x:c r="B18" s="41" t="str">
        <x:v>Premier</x:v>
      </x:c>
      <x:c r="C18" s="41" t="str">
        <x:v>250K-299K</x:v>
      </x:c>
      <x:c r="D18" s="41" t="n">
        <x:v>250000</x:v>
      </x:c>
      <x:c r="E18" s="41" t="n">
        <x:v>299999</x:v>
      </x:c>
      <x:c r="F18" s="41" t="n">
        <x:v>3</x:v>
      </x:c>
      <x:c r="G18" s="41" t="str">
        <x:v>Strength</x:v>
      </x:c>
      <x:c r="H18" s="41" t="str">
        <x:v>Shoulder</x:v>
      </x:c>
      <x:c r="I18" s="41" t="str">
        <x:v>strength_shoulder</x:v>
      </x:c>
      <x:c r="J18" s="41" t="str">
        <x:v>APN24</x:v>
      </x:c>
      <x:c r="K18" s="41" t="str">
        <x:v>Lateral Raise</x:v>
      </x:c>
      <x:c r="L18" s="41" t="str">
        <x:v>Premier</x:v>
      </x:c>
      <x:c r="M18" s="41" t="n">
        <x:v>1</x:v>
      </x:c>
      <x:c r="N18" s="42" t="n">
        <x:v>6140</x:v>
      </x:c>
      <x:c r="O18" s="42" t="n">
        <x:f>M18*N18</x:f>
        <x:v>6140</x:v>
      </x:c>
      <x:c r="P18" s="50" t="n">
        <x:v>0.05</x:v>
      </x:c>
      <x:c r="Q18" s="42" t="n">
        <x:f>O18*P18</x:f>
        <x:v>307</x:v>
      </x:c>
      <x:c r="R18" s="42" t="n">
        <x:f>O18+Q18</x:f>
        <x:v>6447</x:v>
      </x:c>
      <x:c r="S18" s="41" t="str">
        <x:v>Series-substitutable default (APN/APL reference)</x:v>
      </x:c>
      <x:c r="T18" s="41" t="n">
        <x:v>2</x:v>
      </x:c>
      <x:c r="U18" s="41" t="str">
        <x:v>No</x:v>
      </x:c>
      <x:c r="V18" s="41" t="str">
        <x:v>Keep the movement/area; if user selects another approved Premier series, substitute the exact product from that series.</x:v>
      </x:c>
    </x:row>
    <x:row r="19">
      <x:c r="A19" s="41" t="str">
        <x:v>PREM-250-299</x:v>
      </x:c>
      <x:c r="B19" s="41" t="str">
        <x:v>Premier</x:v>
      </x:c>
      <x:c r="C19" s="41" t="str">
        <x:v>250K-299K</x:v>
      </x:c>
      <x:c r="D19" s="41" t="n">
        <x:v>250000</x:v>
      </x:c>
      <x:c r="E19" s="41" t="n">
        <x:v>299999</x:v>
      </x:c>
      <x:c r="F19" s="41" t="n">
        <x:v>3</x:v>
      </x:c>
      <x:c r="G19" s="41" t="str">
        <x:v>Strength</x:v>
      </x:c>
      <x:c r="H19" s="41" t="str">
        <x:v>Back</x:v>
      </x:c>
      <x:c r="I19" s="41" t="str">
        <x:v>strength_back</x:v>
      </x:c>
      <x:c r="J19" s="41" t="str">
        <x:v>APN17</x:v>
      </x:c>
      <x:c r="K19" s="41" t="str">
        <x:v>Lat Pulldown</x:v>
      </x:c>
      <x:c r="L19" s="41" t="str">
        <x:v>Premier</x:v>
      </x:c>
      <x:c r="M19" s="41" t="n">
        <x:v>1</x:v>
      </x:c>
      <x:c r="N19" s="42" t="n">
        <x:v>6140</x:v>
      </x:c>
      <x:c r="O19" s="42" t="n">
        <x:f>M19*N19</x:f>
        <x:v>6140</x:v>
      </x:c>
      <x:c r="P19" s="50" t="n">
        <x:v>0.05</x:v>
      </x:c>
      <x:c r="Q19" s="42" t="n">
        <x:f>O19*P19</x:f>
        <x:v>307</x:v>
      </x:c>
      <x:c r="R19" s="42" t="n">
        <x:f>O19+Q19</x:f>
        <x:v>6447</x:v>
      </x:c>
      <x:c r="S19" s="41" t="str">
        <x:v>Series-substitutable default (APN/APL reference)</x:v>
      </x:c>
      <x:c r="T19" s="41" t="n">
        <x:v>1</x:v>
      </x:c>
      <x:c r="U19" s="41" t="str">
        <x:v>No</x:v>
      </x:c>
      <x:c r="V19" s="41" t="str">
        <x:v>Keep the movement/area; if user selects another approved Premier series, substitute the exact product from that series.</x:v>
      </x:c>
    </x:row>
    <x:row r="20">
      <x:c r="A20" s="41" t="str">
        <x:v>PREM-250-299</x:v>
      </x:c>
      <x:c r="B20" s="41" t="str">
        <x:v>Premier</x:v>
      </x:c>
      <x:c r="C20" s="41" t="str">
        <x:v>250K-299K</x:v>
      </x:c>
      <x:c r="D20" s="41" t="n">
        <x:v>250000</x:v>
      </x:c>
      <x:c r="E20" s="41" t="n">
        <x:v>299999</x:v>
      </x:c>
      <x:c r="F20" s="41" t="n">
        <x:v>3</x:v>
      </x:c>
      <x:c r="G20" s="41" t="str">
        <x:v>Strength</x:v>
      </x:c>
      <x:c r="H20" s="41" t="str">
        <x:v>Back</x:v>
      </x:c>
      <x:c r="I20" s="41" t="str">
        <x:v>strength_back</x:v>
      </x:c>
      <x:c r="J20" s="41" t="str">
        <x:v>APN15</x:v>
      </x:c>
      <x:c r="K20" s="41" t="str">
        <x:v>Seated Row</x:v>
      </x:c>
      <x:c r="L20" s="41" t="str">
        <x:v>Premier</x:v>
      </x:c>
      <x:c r="M20" s="41" t="n">
        <x:v>1</x:v>
      </x:c>
      <x:c r="N20" s="42" t="n">
        <x:v>6140</x:v>
      </x:c>
      <x:c r="O20" s="42" t="n">
        <x:f>M20*N20</x:f>
        <x:v>6140</x:v>
      </x:c>
      <x:c r="P20" s="50" t="n">
        <x:v>0.05</x:v>
      </x:c>
      <x:c r="Q20" s="42" t="n">
        <x:f>O20*P20</x:f>
        <x:v>307</x:v>
      </x:c>
      <x:c r="R20" s="42" t="n">
        <x:f>O20+Q20</x:f>
        <x:v>6447</x:v>
      </x:c>
      <x:c r="S20" s="41" t="str">
        <x:v>Series-substitutable default (APN/APL reference)</x:v>
      </x:c>
      <x:c r="T20" s="41" t="n">
        <x:v>2</x:v>
      </x:c>
      <x:c r="U20" s="41" t="str">
        <x:v>No</x:v>
      </x:c>
      <x:c r="V20" s="41" t="str">
        <x:v>Keep the movement/area; if user selects another approved Premier series, substitute the exact product from that series.</x:v>
      </x:c>
    </x:row>
    <x:row r="21">
      <x:c r="A21" s="41" t="str">
        <x:v>PREM-250-299</x:v>
      </x:c>
      <x:c r="B21" s="41" t="str">
        <x:v>Premier</x:v>
      </x:c>
      <x:c r="C21" s="41" t="str">
        <x:v>250K-299K</x:v>
      </x:c>
      <x:c r="D21" s="41" t="n">
        <x:v>250000</x:v>
      </x:c>
      <x:c r="E21" s="41" t="n">
        <x:v>299999</x:v>
      </x:c>
      <x:c r="F21" s="41" t="n">
        <x:v>3</x:v>
      </x:c>
      <x:c r="G21" s="41" t="str">
        <x:v>Strength</x:v>
      </x:c>
      <x:c r="H21" s="41" t="str">
        <x:v>Back</x:v>
      </x:c>
      <x:c r="I21" s="41" t="str">
        <x:v>strength_back</x:v>
      </x:c>
      <x:c r="J21" s="41" t="str">
        <x:v>APL11</x:v>
      </x:c>
      <x:c r="K21" s="41" t="str">
        <x:v>Low Row</x:v>
      </x:c>
      <x:c r="L21" s="41" t="str">
        <x:v>Premier</x:v>
      </x:c>
      <x:c r="M21" s="41" t="n">
        <x:v>1</x:v>
      </x:c>
      <x:c r="N21" s="42" t="n">
        <x:v>4660</x:v>
      </x:c>
      <x:c r="O21" s="42" t="n">
        <x:f>M21*N21</x:f>
        <x:v>4660</x:v>
      </x:c>
      <x:c r="P21" s="50" t="n">
        <x:v>0.05</x:v>
      </x:c>
      <x:c r="Q21" s="42" t="n">
        <x:f>O21*P21</x:f>
        <x:v>233</x:v>
      </x:c>
      <x:c r="R21" s="42" t="n">
        <x:f>O21+Q21</x:f>
        <x:v>4893</x:v>
      </x:c>
      <x:c r="S21" s="41" t="str">
        <x:v>Series-substitutable default (APN/APL reference)</x:v>
      </x:c>
      <x:c r="T21" s="41" t="n">
        <x:v>3</x:v>
      </x:c>
      <x:c r="U21" s="41" t="str">
        <x:v>No</x:v>
      </x:c>
      <x:c r="V21" s="41" t="str">
        <x:v>Keep the movement/area; if user selects another approved Premier series, substitute the exact product from that series.</x:v>
      </x:c>
    </x:row>
    <x:row r="22">
      <x:c r="A22" s="41" t="str">
        <x:v>PREM-250-299</x:v>
      </x:c>
      <x:c r="B22" s="41" t="str">
        <x:v>Premier</x:v>
      </x:c>
      <x:c r="C22" s="41" t="str">
        <x:v>250K-299K</x:v>
      </x:c>
      <x:c r="D22" s="41" t="n">
        <x:v>250000</x:v>
      </x:c>
      <x:c r="E22" s="41" t="n">
        <x:v>299999</x:v>
      </x:c>
      <x:c r="F22" s="41" t="n">
        <x:v>3</x:v>
      </x:c>
      <x:c r="G22" s="41" t="str">
        <x:v>Strength</x:v>
      </x:c>
      <x:c r="H22" s="41" t="str">
        <x:v>Back</x:v>
      </x:c>
      <x:c r="I22" s="41" t="str">
        <x:v>strength_back</x:v>
      </x:c>
      <x:c r="J22" s="41" t="str">
        <x:v>APL34</x:v>
      </x:c>
      <x:c r="K22" s="41" t="str">
        <x:v>Incline T-Bar Row With Adj Handle</x:v>
      </x:c>
      <x:c r="L22" s="41" t="str">
        <x:v>Premier</x:v>
      </x:c>
      <x:c r="M22" s="41" t="n">
        <x:v>1</x:v>
      </x:c>
      <x:c r="N22" s="42" t="n">
        <x:v>3500</x:v>
      </x:c>
      <x:c r="O22" s="42" t="n">
        <x:f>M22*N22</x:f>
        <x:v>3500</x:v>
      </x:c>
      <x:c r="P22" s="50" t="n">
        <x:v>0.05</x:v>
      </x:c>
      <x:c r="Q22" s="42" t="n">
        <x:f>O22*P22</x:f>
        <x:v>175</x:v>
      </x:c>
      <x:c r="R22" s="42" t="n">
        <x:f>O22+Q22</x:f>
        <x:v>3675</x:v>
      </x:c>
      <x:c r="S22" s="41" t="str">
        <x:v>Series-substitutable default (APN/APL reference)</x:v>
      </x:c>
      <x:c r="T22" s="41" t="n">
        <x:v>4</x:v>
      </x:c>
      <x:c r="U22" s="41" t="str">
        <x:v>No</x:v>
      </x:c>
      <x:c r="V22" s="41" t="str">
        <x:v>Keep the movement/area; if user selects another approved Premier series, substitute the exact product from that series.</x:v>
      </x:c>
    </x:row>
    <x:row r="23">
      <x:c r="A23" s="41" t="str">
        <x:v>PREM-250-299</x:v>
      </x:c>
      <x:c r="B23" s="41" t="str">
        <x:v>Premier</x:v>
      </x:c>
      <x:c r="C23" s="41" t="str">
        <x:v>250K-299K</x:v>
      </x:c>
      <x:c r="D23" s="41" t="n">
        <x:v>250000</x:v>
      </x:c>
      <x:c r="E23" s="41" t="n">
        <x:v>299999</x:v>
      </x:c>
      <x:c r="F23" s="41" t="n">
        <x:v>3</x:v>
      </x:c>
      <x:c r="G23" s="41" t="str">
        <x:v>Strength</x:v>
      </x:c>
      <x:c r="H23" s="41" t="str">
        <x:v>Arms</x:v>
      </x:c>
      <x:c r="I23" s="41" t="str">
        <x:v>strength_arms</x:v>
      </x:c>
      <x:c r="J23" s="41" t="str">
        <x:v>APN18</x:v>
      </x:c>
      <x:c r="K23" s="41" t="str">
        <x:v>Biceps Curl</x:v>
      </x:c>
      <x:c r="L23" s="41" t="str">
        <x:v>Premier</x:v>
      </x:c>
      <x:c r="M23" s="41" t="n">
        <x:v>1</x:v>
      </x:c>
      <x:c r="N23" s="42" t="n">
        <x:v>6140</x:v>
      </x:c>
      <x:c r="O23" s="42" t="n">
        <x:f>M23*N23</x:f>
        <x:v>6140</x:v>
      </x:c>
      <x:c r="P23" s="50" t="n">
        <x:v>0.05</x:v>
      </x:c>
      <x:c r="Q23" s="42" t="n">
        <x:f>O23*P23</x:f>
        <x:v>307</x:v>
      </x:c>
      <x:c r="R23" s="42" t="n">
        <x:f>O23+Q23</x:f>
        <x:v>6447</x:v>
      </x:c>
      <x:c r="S23" s="41" t="str">
        <x:v>Series-substitutable default (APN/APL reference)</x:v>
      </x:c>
      <x:c r="T23" s="41" t="n">
        <x:v>1</x:v>
      </x:c>
      <x:c r="U23" s="41" t="str">
        <x:v>No</x:v>
      </x:c>
      <x:c r="V23" s="41" t="str">
        <x:v>Keep the movement/area; if user selects another approved Premier series, substitute the exact product from that series.</x:v>
      </x:c>
    </x:row>
    <x:row r="24">
      <x:c r="A24" s="41" t="str">
        <x:v>PREM-250-299</x:v>
      </x:c>
      <x:c r="B24" s="41" t="str">
        <x:v>Premier</x:v>
      </x:c>
      <x:c r="C24" s="41" t="str">
        <x:v>250K-299K</x:v>
      </x:c>
      <x:c r="D24" s="41" t="n">
        <x:v>250000</x:v>
      </x:c>
      <x:c r="E24" s="41" t="n">
        <x:v>299999</x:v>
      </x:c>
      <x:c r="F24" s="41" t="n">
        <x:v>3</x:v>
      </x:c>
      <x:c r="G24" s="41" t="str">
        <x:v>Strength</x:v>
      </x:c>
      <x:c r="H24" s="41" t="str">
        <x:v>Arms</x:v>
      </x:c>
      <x:c r="I24" s="41" t="str">
        <x:v>strength_arms</x:v>
      </x:c>
      <x:c r="J24" s="41" t="str">
        <x:v>APN19</x:v>
      </x:c>
      <x:c r="K24" s="41" t="str">
        <x:v>Triceps Extension</x:v>
      </x:c>
      <x:c r="L24" s="41" t="str">
        <x:v>Premier</x:v>
      </x:c>
      <x:c r="M24" s="41" t="n">
        <x:v>1</x:v>
      </x:c>
      <x:c r="N24" s="42" t="n">
        <x:v>6140</x:v>
      </x:c>
      <x:c r="O24" s="42" t="n">
        <x:f>M24*N24</x:f>
        <x:v>6140</x:v>
      </x:c>
      <x:c r="P24" s="50" t="n">
        <x:v>0.05</x:v>
      </x:c>
      <x:c r="Q24" s="42" t="n">
        <x:f>O24*P24</x:f>
        <x:v>307</x:v>
      </x:c>
      <x:c r="R24" s="42" t="n">
        <x:f>O24+Q24</x:f>
        <x:v>6447</x:v>
      </x:c>
      <x:c r="S24" s="41" t="str">
        <x:v>Series-substitutable default (APN/APL reference)</x:v>
      </x:c>
      <x:c r="T24" s="41" t="n">
        <x:v>2</x:v>
      </x:c>
      <x:c r="U24" s="41" t="str">
        <x:v>No</x:v>
      </x:c>
      <x:c r="V24" s="41" t="str">
        <x:v>Keep the movement/area; if user selects another approved Premier series, substitute the exact product from that series.</x:v>
      </x:c>
    </x:row>
    <x:row r="25">
      <x:c r="A25" s="41" t="str">
        <x:v>PREM-250-299</x:v>
      </x:c>
      <x:c r="B25" s="41" t="str">
        <x:v>Premier</x:v>
      </x:c>
      <x:c r="C25" s="41" t="str">
        <x:v>250K-299K</x:v>
      </x:c>
      <x:c r="D25" s="41" t="n">
        <x:v>250000</x:v>
      </x:c>
      <x:c r="E25" s="41" t="n">
        <x:v>299999</x:v>
      </x:c>
      <x:c r="F25" s="41" t="n">
        <x:v>3</x:v>
      </x:c>
      <x:c r="G25" s="41" t="str">
        <x:v>Strength</x:v>
      </x:c>
      <x:c r="H25" s="41" t="str">
        <x:v>Core / Abs</x:v>
      </x:c>
      <x:c r="I25" s="41" t="str">
        <x:v>strength_core_abs</x:v>
      </x:c>
      <x:c r="J25" s="41" t="str">
        <x:v>APN30</x:v>
      </x:c>
      <x:c r="K25" s="41" t="str">
        <x:v>Total Abdominal</x:v>
      </x:c>
      <x:c r="L25" s="41" t="str">
        <x:v>Premier</x:v>
      </x:c>
      <x:c r="M25" s="41" t="n">
        <x:v>1</x:v>
      </x:c>
      <x:c r="N25" s="42" t="n">
        <x:v>6140</x:v>
      </x:c>
      <x:c r="O25" s="42" t="n">
        <x:f>M25*N25</x:f>
        <x:v>6140</x:v>
      </x:c>
      <x:c r="P25" s="50" t="n">
        <x:v>0.05</x:v>
      </x:c>
      <x:c r="Q25" s="42" t="n">
        <x:f>O25*P25</x:f>
        <x:v>307</x:v>
      </x:c>
      <x:c r="R25" s="42" t="n">
        <x:f>O25+Q25</x:f>
        <x:v>6447</x:v>
      </x:c>
      <x:c r="S25" s="41" t="str">
        <x:v>Series-substitutable default (APN/APL reference)</x:v>
      </x:c>
      <x:c r="T25" s="41" t="n">
        <x:v>1</x:v>
      </x:c>
      <x:c r="U25" s="41" t="str">
        <x:v>No</x:v>
      </x:c>
      <x:c r="V25" s="41" t="str">
        <x:v>Keep the movement/area; if user selects another approved Premier series, substitute the exact product from that series.</x:v>
      </x:c>
    </x:row>
    <x:row r="26">
      <x:c r="A26" s="41" t="str">
        <x:v>PREM-250-299</x:v>
      </x:c>
      <x:c r="B26" s="41" t="str">
        <x:v>Premier</x:v>
      </x:c>
      <x:c r="C26" s="41" t="str">
        <x:v>250K-299K</x:v>
      </x:c>
      <x:c r="D26" s="41" t="n">
        <x:v>250000</x:v>
      </x:c>
      <x:c r="E26" s="41" t="n">
        <x:v>299999</x:v>
      </x:c>
      <x:c r="F26" s="41" t="n">
        <x:v>3</x:v>
      </x:c>
      <x:c r="G26" s="41" t="str">
        <x:v>Strength</x:v>
      </x:c>
      <x:c r="H26" s="41" t="str">
        <x:v>Core / Abs</x:v>
      </x:c>
      <x:c r="I26" s="41" t="str">
        <x:v>strength_core_abs</x:v>
      </x:c>
      <x:c r="J26" s="41" t="str">
        <x:v>APN43</x:v>
      </x:c>
      <x:c r="K26" s="41" t="str">
        <x:v>Rotary Torso</x:v>
      </x:c>
      <x:c r="L26" s="41" t="str">
        <x:v>Premier</x:v>
      </x:c>
      <x:c r="M26" s="41" t="n">
        <x:v>1</x:v>
      </x:c>
      <x:c r="N26" s="42" t="n">
        <x:v>6140</x:v>
      </x:c>
      <x:c r="O26" s="42" t="n">
        <x:f>M26*N26</x:f>
        <x:v>6140</x:v>
      </x:c>
      <x:c r="P26" s="50" t="n">
        <x:v>0.05</x:v>
      </x:c>
      <x:c r="Q26" s="42" t="n">
        <x:f>O26*P26</x:f>
        <x:v>307</x:v>
      </x:c>
      <x:c r="R26" s="42" t="n">
        <x:f>O26+Q26</x:f>
        <x:v>6447</x:v>
      </x:c>
      <x:c r="S26" s="41" t="str">
        <x:v>Series-substitutable default (APN/APL reference)</x:v>
      </x:c>
      <x:c r="T26" s="41" t="n">
        <x:v>2</x:v>
      </x:c>
      <x:c r="U26" s="41" t="str">
        <x:v>No</x:v>
      </x:c>
      <x:c r="V26" s="41" t="str">
        <x:v>Keep the movement/area; if user selects another approved Premier series, substitute the exact product from that series.</x:v>
      </x:c>
    </x:row>
    <x:row r="27">
      <x:c r="A27" s="41" t="str">
        <x:v>PREM-250-299</x:v>
      </x:c>
      <x:c r="B27" s="41" t="str">
        <x:v>Premier</x:v>
      </x:c>
      <x:c r="C27" s="41" t="str">
        <x:v>250K-299K</x:v>
      </x:c>
      <x:c r="D27" s="41" t="n">
        <x:v>250000</x:v>
      </x:c>
      <x:c r="E27" s="41" t="n">
        <x:v>299999</x:v>
      </x:c>
      <x:c r="F27" s="41" t="n">
        <x:v>3</x:v>
      </x:c>
      <x:c r="G27" s="41" t="str">
        <x:v>Strength</x:v>
      </x:c>
      <x:c r="H27" s="41" t="str">
        <x:v>Legs</x:v>
      </x:c>
      <x:c r="I27" s="41" t="str">
        <x:v>strength_legs</x:v>
      </x:c>
      <x:c r="J27" s="41" t="str">
        <x:v>APN08</x:v>
      </x:c>
      <x:c r="K27" s="41" t="str">
        <x:v>Leg Press/Calf</x:v>
      </x:c>
      <x:c r="L27" s="41" t="str">
        <x:v>Premier</x:v>
      </x:c>
      <x:c r="M27" s="41" t="n">
        <x:v>1</x:v>
      </x:c>
      <x:c r="N27" s="42" t="n">
        <x:v>6470</x:v>
      </x:c>
      <x:c r="O27" s="42" t="n">
        <x:f>M27*N27</x:f>
        <x:v>6470</x:v>
      </x:c>
      <x:c r="P27" s="50" t="n">
        <x:v>0.05</x:v>
      </x:c>
      <x:c r="Q27" s="42" t="n">
        <x:f>O27*P27</x:f>
        <x:v>323.5</x:v>
      </x:c>
      <x:c r="R27" s="42" t="n">
        <x:f>O27+Q27</x:f>
        <x:v>6793.5</x:v>
      </x:c>
      <x:c r="S27" s="41" t="str">
        <x:v>Series-substitutable default (APN/APL reference)</x:v>
      </x:c>
      <x:c r="T27" s="41" t="n">
        <x:v>1</x:v>
      </x:c>
      <x:c r="U27" s="41" t="str">
        <x:v>No</x:v>
      </x:c>
      <x:c r="V27" s="41" t="str">
        <x:v>Keep the movement/area; if user selects another approved Premier series, substitute the exact product from that series.</x:v>
      </x:c>
    </x:row>
    <x:row r="28">
      <x:c r="A28" s="41" t="str">
        <x:v>PREM-250-299</x:v>
      </x:c>
      <x:c r="B28" s="41" t="str">
        <x:v>Premier</x:v>
      </x:c>
      <x:c r="C28" s="41" t="str">
        <x:v>250K-299K</x:v>
      </x:c>
      <x:c r="D28" s="41" t="n">
        <x:v>250000</x:v>
      </x:c>
      <x:c r="E28" s="41" t="n">
        <x:v>299999</x:v>
      </x:c>
      <x:c r="F28" s="41" t="n">
        <x:v>3</x:v>
      </x:c>
      <x:c r="G28" s="41" t="str">
        <x:v>Strength</x:v>
      </x:c>
      <x:c r="H28" s="41" t="str">
        <x:v>Legs</x:v>
      </x:c>
      <x:c r="I28" s="41" t="str">
        <x:v>strength_legs</x:v>
      </x:c>
      <x:c r="J28" s="41" t="str">
        <x:v>APN20</x:v>
      </x:c>
      <x:c r="K28" s="41" t="str">
        <x:v>Leg Extension</x:v>
      </x:c>
      <x:c r="L28" s="41" t="str">
        <x:v>Premier</x:v>
      </x:c>
      <x:c r="M28" s="41" t="n">
        <x:v>1</x:v>
      </x:c>
      <x:c r="N28" s="42" t="n">
        <x:v>6140</x:v>
      </x:c>
      <x:c r="O28" s="42" t="n">
        <x:f>M28*N28</x:f>
        <x:v>6140</x:v>
      </x:c>
      <x:c r="P28" s="50" t="n">
        <x:v>0.05</x:v>
      </x:c>
      <x:c r="Q28" s="42" t="n">
        <x:f>O28*P28</x:f>
        <x:v>307</x:v>
      </x:c>
      <x:c r="R28" s="42" t="n">
        <x:f>O28+Q28</x:f>
        <x:v>6447</x:v>
      </x:c>
      <x:c r="S28" s="41" t="str">
        <x:v>Series-substitutable default (APN/APL reference)</x:v>
      </x:c>
      <x:c r="T28" s="41" t="n">
        <x:v>2</x:v>
      </x:c>
      <x:c r="U28" s="41" t="str">
        <x:v>No</x:v>
      </x:c>
      <x:c r="V28" s="41" t="str">
        <x:v>Keep the movement/area; if user selects another approved Premier series, substitute the exact product from that series.</x:v>
      </x:c>
    </x:row>
    <x:row r="29">
      <x:c r="A29" s="41" t="str">
        <x:v>PREM-250-299</x:v>
      </x:c>
      <x:c r="B29" s="41" t="str">
        <x:v>Premier</x:v>
      </x:c>
      <x:c r="C29" s="41" t="str">
        <x:v>250K-299K</x:v>
      </x:c>
      <x:c r="D29" s="41" t="n">
        <x:v>250000</x:v>
      </x:c>
      <x:c r="E29" s="41" t="n">
        <x:v>299999</x:v>
      </x:c>
      <x:c r="F29" s="41" t="n">
        <x:v>3</x:v>
      </x:c>
      <x:c r="G29" s="41" t="str">
        <x:v>Strength</x:v>
      </x:c>
      <x:c r="H29" s="41" t="str">
        <x:v>Legs</x:v>
      </x:c>
      <x:c r="I29" s="41" t="str">
        <x:v>strength_legs</x:v>
      </x:c>
      <x:c r="J29" s="41" t="str">
        <x:v>APN21</x:v>
      </x:c>
      <x:c r="K29" s="41" t="str">
        <x:v>Prone Leg Curl</x:v>
      </x:c>
      <x:c r="L29" s="41" t="str">
        <x:v>Premier</x:v>
      </x:c>
      <x:c r="M29" s="41" t="n">
        <x:v>1</x:v>
      </x:c>
      <x:c r="N29" s="42" t="n">
        <x:v>6140</x:v>
      </x:c>
      <x:c r="O29" s="42" t="n">
        <x:f>M29*N29</x:f>
        <x:v>6140</x:v>
      </x:c>
      <x:c r="P29" s="50" t="n">
        <x:v>0.05</x:v>
      </x:c>
      <x:c r="Q29" s="42" t="n">
        <x:f>O29*P29</x:f>
        <x:v>307</x:v>
      </x:c>
      <x:c r="R29" s="42" t="n">
        <x:f>O29+Q29</x:f>
        <x:v>6447</x:v>
      </x:c>
      <x:c r="S29" s="41" t="str">
        <x:v>Series-substitutable default (APN/APL reference)</x:v>
      </x:c>
      <x:c r="T29" s="41" t="n">
        <x:v>3</x:v>
      </x:c>
      <x:c r="U29" s="41" t="str">
        <x:v>No</x:v>
      </x:c>
      <x:c r="V29" s="41" t="str">
        <x:v>Keep the movement/area; if user selects another approved Premier series, substitute the exact product from that series.</x:v>
      </x:c>
    </x:row>
    <x:row r="30">
      <x:c r="A30" s="41" t="str">
        <x:v>PREM-250-299</x:v>
      </x:c>
      <x:c r="B30" s="41" t="str">
        <x:v>Premier</x:v>
      </x:c>
      <x:c r="C30" s="41" t="str">
        <x:v>250K-299K</x:v>
      </x:c>
      <x:c r="D30" s="41" t="n">
        <x:v>250000</x:v>
      </x:c>
      <x:c r="E30" s="41" t="n">
        <x:v>299999</x:v>
      </x:c>
      <x:c r="F30" s="41" t="n">
        <x:v>3</x:v>
      </x:c>
      <x:c r="G30" s="41" t="str">
        <x:v>Strength</x:v>
      </x:c>
      <x:c r="H30" s="41" t="str">
        <x:v>Legs</x:v>
      </x:c>
      <x:c r="I30" s="41" t="str">
        <x:v>strength_legs</x:v>
      </x:c>
      <x:c r="J30" s="41" t="str">
        <x:v>APL43</x:v>
      </x:c>
      <x:c r="K30" s="41" t="str">
        <x:v>Hack Squat</x:v>
      </x:c>
      <x:c r="L30" s="41" t="str">
        <x:v>Premier</x:v>
      </x:c>
      <x:c r="M30" s="41" t="n">
        <x:v>1</x:v>
      </x:c>
      <x:c r="N30" s="42" t="n">
        <x:v>6410</x:v>
      </x:c>
      <x:c r="O30" s="42" t="n">
        <x:f>M30*N30</x:f>
        <x:v>6410</x:v>
      </x:c>
      <x:c r="P30" s="50" t="n">
        <x:v>0.05</x:v>
      </x:c>
      <x:c r="Q30" s="42" t="n">
        <x:f>O30*P30</x:f>
        <x:v>320.5</x:v>
      </x:c>
      <x:c r="R30" s="42" t="n">
        <x:f>O30+Q30</x:f>
        <x:v>6730.5</x:v>
      </x:c>
      <x:c r="S30" s="41" t="str">
        <x:v>Series-substitutable default (APN/APL reference)</x:v>
      </x:c>
      <x:c r="T30" s="41" t="n">
        <x:v>4</x:v>
      </x:c>
      <x:c r="U30" s="41" t="str">
        <x:v>No</x:v>
      </x:c>
      <x:c r="V30" s="41" t="str">
        <x:v>Keep the movement/area; if user selects another approved Premier series, substitute the exact product from that series.</x:v>
      </x:c>
    </x:row>
    <x:row r="31">
      <x:c r="A31" s="41" t="str">
        <x:v>PREM-250-299</x:v>
      </x:c>
      <x:c r="B31" s="41" t="str">
        <x:v>Premier</x:v>
      </x:c>
      <x:c r="C31" s="41" t="str">
        <x:v>250K-299K</x:v>
      </x:c>
      <x:c r="D31" s="41" t="n">
        <x:v>250000</x:v>
      </x:c>
      <x:c r="E31" s="41" t="n">
        <x:v>299999</x:v>
      </x:c>
      <x:c r="F31" s="41" t="n">
        <x:v>3</x:v>
      </x:c>
      <x:c r="G31" s="41" t="str">
        <x:v>Strength</x:v>
      </x:c>
      <x:c r="H31" s="41" t="str">
        <x:v>Glutes</x:v>
      </x:c>
      <x:c r="I31" s="41" t="str">
        <x:v>strength_glutes</x:v>
      </x:c>
      <x:c r="J31" s="41" t="str">
        <x:v>APN01</x:v>
      </x:c>
      <x:c r="K31" s="41" t="str">
        <x:v>Adductor / Abductor</x:v>
      </x:c>
      <x:c r="L31" s="41" t="str">
        <x:v>Premier</x:v>
      </x:c>
      <x:c r="M31" s="41" t="n">
        <x:v>1</x:v>
      </x:c>
      <x:c r="N31" s="42" t="n">
        <x:v>6140</x:v>
      </x:c>
      <x:c r="O31" s="42" t="n">
        <x:f>M31*N31</x:f>
        <x:v>6140</x:v>
      </x:c>
      <x:c r="P31" s="50" t="n">
        <x:v>0.05</x:v>
      </x:c>
      <x:c r="Q31" s="42" t="n">
        <x:f>O31*P31</x:f>
        <x:v>307</x:v>
      </x:c>
      <x:c r="R31" s="42" t="n">
        <x:f>O31+Q31</x:f>
        <x:v>6447</x:v>
      </x:c>
      <x:c r="S31" s="41" t="str">
        <x:v>Series-substitutable default (APN/APL reference)</x:v>
      </x:c>
      <x:c r="T31" s="41" t="n">
        <x:v>1</x:v>
      </x:c>
      <x:c r="U31" s="41" t="str">
        <x:v>No</x:v>
      </x:c>
      <x:c r="V31" s="41" t="str">
        <x:v>Keep the movement/area; if user selects another approved Premier series, substitute the exact product from that series.</x:v>
      </x:c>
    </x:row>
    <x:row r="32">
      <x:c r="A32" s="41" t="str">
        <x:v>PREM-250-299</x:v>
      </x:c>
      <x:c r="B32" s="41" t="str">
        <x:v>Premier</x:v>
      </x:c>
      <x:c r="C32" s="41" t="str">
        <x:v>250K-299K</x:v>
      </x:c>
      <x:c r="D32" s="41" t="n">
        <x:v>250000</x:v>
      </x:c>
      <x:c r="E32" s="41" t="n">
        <x:v>299999</x:v>
      </x:c>
      <x:c r="F32" s="41" t="n">
        <x:v>4</x:v>
      </x:c>
      <x:c r="G32" s="41" t="str">
        <x:v>Benches</x:v>
      </x:c>
      <x:c r="H32" s="41" t="str">
        <x:v>Adjustable Bench</x:v>
      </x:c>
      <x:c r="I32" s="41" t="str">
        <x:v>benches_adjustable_bench</x:v>
      </x:c>
      <x:c r="J32" s="41" t="str">
        <x:v>TQL73</x:v>
      </x:c>
      <x:c r="K32" s="41" t="str">
        <x:v>Adjustable Bench</x:v>
      </x:c>
      <x:c r="L32" s="41" t="str">
        <x:v>Premier</x:v>
      </x:c>
      <x:c r="M32" s="41" t="n">
        <x:v>3</x:v>
      </x:c>
      <x:c r="N32" s="42" t="n">
        <x:v>1810</x:v>
      </x:c>
      <x:c r="O32" s="42" t="n">
        <x:f>M32*N32</x:f>
        <x:v>5430</x:v>
      </x:c>
      <x:c r="P32" s="50" t="n">
        <x:v>0.05</x:v>
      </x:c>
      <x:c r="Q32" s="42" t="n">
        <x:f>O32*P32</x:f>
        <x:v>271.5</x:v>
      </x:c>
      <x:c r="R32" s="42" t="n">
        <x:f>O32+Q32</x:f>
        <x:v>5701.5</x:v>
      </x:c>
      <x:c r="S32" s="41" t="str">
        <x:v>Budget-tier quantity</x:v>
      </x:c>
      <x:c r="T32" s="41" t="n">
        <x:v>1</x:v>
      </x:c>
      <x:c r="U32" s="41" t="str">
        <x:v>No</x:v>
      </x:c>
      <x:c r="V32" s="41" t="str">
        <x:v>Bench quantity scales with gym capacity.</x:v>
      </x:c>
    </x:row>
    <x:row r="33">
      <x:c r="A33" s="41" t="str">
        <x:v>PREM-250-299</x:v>
      </x:c>
      <x:c r="B33" s="41" t="str">
        <x:v>Premier</x:v>
      </x:c>
      <x:c r="C33" s="41" t="str">
        <x:v>250K-299K</x:v>
      </x:c>
      <x:c r="D33" s="41" t="n">
        <x:v>250000</x:v>
      </x:c>
      <x:c r="E33" s="41" t="n">
        <x:v>299999</x:v>
      </x:c>
      <x:c r="F33" s="41" t="n">
        <x:v>4</x:v>
      </x:c>
      <x:c r="G33" s="41" t="str">
        <x:v>Benches</x:v>
      </x:c>
      <x:c r="H33" s="41" t="str">
        <x:v>Flat Bench</x:v>
      </x:c>
      <x:c r="I33" s="41" t="str">
        <x:v>benches_flat_bench</x:v>
      </x:c>
      <x:c r="J33" s="41" t="str">
        <x:v>TQL69</x:v>
      </x:c>
      <x:c r="K33" s="41" t="str">
        <x:v>Flat Bench</x:v>
      </x:c>
      <x:c r="L33" s="41" t="str">
        <x:v>Premier</x:v>
      </x:c>
      <x:c r="M33" s="41" t="n">
        <x:v>2</x:v>
      </x:c>
      <x:c r="N33" s="42" t="n">
        <x:v>960</x:v>
      </x:c>
      <x:c r="O33" s="42" t="n">
        <x:f>M33*N33</x:f>
        <x:v>1920</x:v>
      </x:c>
      <x:c r="P33" s="50" t="n">
        <x:v>0.05</x:v>
      </x:c>
      <x:c r="Q33" s="42" t="n">
        <x:f>O33*P33</x:f>
        <x:v>96</x:v>
      </x:c>
      <x:c r="R33" s="42" t="n">
        <x:f>O33+Q33</x:f>
        <x:v>2016</x:v>
      </x:c>
      <x:c r="S33" s="41" t="str">
        <x:v>Budget-tier quantity</x:v>
      </x:c>
      <x:c r="T33" s="41" t="n">
        <x:v>2</x:v>
      </x:c>
      <x:c r="U33" s="41" t="str">
        <x:v>No</x:v>
      </x:c>
      <x:c r="V33" s="41" t="str">
        <x:v>Bench quantity scales with gym capacity.</x:v>
      </x:c>
    </x:row>
    <x:row r="34">
      <x:c r="A34" s="41" t="str">
        <x:v>PREM-250-299</x:v>
      </x:c>
      <x:c r="B34" s="41" t="str">
        <x:v>Premier</x:v>
      </x:c>
      <x:c r="C34" s="41" t="str">
        <x:v>250K-299K</x:v>
      </x:c>
      <x:c r="D34" s="41" t="n">
        <x:v>250000</x:v>
      </x:c>
      <x:c r="E34" s="41" t="n">
        <x:v>299999</x:v>
      </x:c>
      <x:c r="F34" s="41" t="n">
        <x:v>4</x:v>
      </x:c>
      <x:c r="G34" s="41" t="str">
        <x:v>Benches</x:v>
      </x:c>
      <x:c r="H34" s="41" t="str">
        <x:v>Adjustable Crunch Bench</x:v>
      </x:c>
      <x:c r="I34" s="41" t="str">
        <x:v>benches_adjustable_crunch_bench</x:v>
      </x:c>
      <x:c r="J34" s="41" t="str">
        <x:v>TQL75</x:v>
      </x:c>
      <x:c r="K34" s="41" t="str">
        <x:v>Adjustable Abdominal Bench</x:v>
      </x:c>
      <x:c r="L34" s="41" t="str">
        <x:v>Premier</x:v>
      </x:c>
      <x:c r="M34" s="41" t="n">
        <x:v>1</x:v>
      </x:c>
      <x:c r="N34" s="42" t="n">
        <x:v>1810</x:v>
      </x:c>
      <x:c r="O34" s="42" t="n">
        <x:f>M34*N34</x:f>
        <x:v>1810</x:v>
      </x:c>
      <x:c r="P34" s="50" t="n">
        <x:v>0.05</x:v>
      </x:c>
      <x:c r="Q34" s="42" t="n">
        <x:f>O34*P34</x:f>
        <x:v>90.5</x:v>
      </x:c>
      <x:c r="R34" s="42" t="n">
        <x:f>O34+Q34</x:f>
        <x:v>1900.5</x:v>
      </x:c>
      <x:c r="S34" s="41" t="str">
        <x:v>Budget-tier quantity</x:v>
      </x:c>
      <x:c r="T34" s="41" t="n">
        <x:v>3</x:v>
      </x:c>
      <x:c r="U34" s="41" t="str">
        <x:v>No</x:v>
      </x:c>
      <x:c r="V34" s="41" t="str">
        <x:v>Bench quantity scales with gym capacity.</x:v>
      </x:c>
    </x:row>
    <x:row r="35">
      <x:c r="A35" s="41" t="str">
        <x:v>PREM-250-299</x:v>
      </x:c>
      <x:c r="B35" s="41" t="str">
        <x:v>Premier</x:v>
      </x:c>
      <x:c r="C35" s="41" t="str">
        <x:v>250K-299K</x:v>
      </x:c>
      <x:c r="D35" s="41" t="n">
        <x:v>250000</x:v>
      </x:c>
      <x:c r="E35" s="41" t="n">
        <x:v>299999</x:v>
      </x:c>
      <x:c r="F35" s="41" t="n">
        <x:v>4</x:v>
      </x:c>
      <x:c r="G35" s="41" t="str">
        <x:v>Benches</x:v>
      </x:c>
      <x:c r="H35" s="41" t="str">
        <x:v>Lower Back Bench</x:v>
      </x:c>
      <x:c r="I35" s="41" t="str">
        <x:v>benches_lower_back_bench</x:v>
      </x:c>
      <x:c r="J35" s="41" t="str">
        <x:v>TQL48</x:v>
      </x:c>
      <x:c r="K35" s="41" t="str">
        <x:v>Roman Chair (Hyper/Back Extension)</x:v>
      </x:c>
      <x:c r="L35" s="41" t="str">
        <x:v>Premier</x:v>
      </x:c>
      <x:c r="M35" s="41" t="n">
        <x:v>1</x:v>
      </x:c>
      <x:c r="N35" s="42" t="n">
        <x:v>2090</x:v>
      </x:c>
      <x:c r="O35" s="42" t="n">
        <x:f>M35*N35</x:f>
        <x:v>2090</x:v>
      </x:c>
      <x:c r="P35" s="50" t="n">
        <x:v>0.05</x:v>
      </x:c>
      <x:c r="Q35" s="42" t="n">
        <x:f>O35*P35</x:f>
        <x:v>104.5</x:v>
      </x:c>
      <x:c r="R35" s="42" t="n">
        <x:f>O35+Q35</x:f>
        <x:v>2194.5</x:v>
      </x:c>
      <x:c r="S35" s="41" t="str">
        <x:v>Budget-tier quantity</x:v>
      </x:c>
      <x:c r="T35" s="41" t="n">
        <x:v>4</x:v>
      </x:c>
      <x:c r="U35" s="41" t="str">
        <x:v>No</x:v>
      </x:c>
      <x:c r="V35" s="41" t="str">
        <x:v>Bench quantity scales with gym capacity.</x:v>
      </x:c>
    </x:row>
    <x:row r="36">
      <x:c r="A36" s="41" t="str">
        <x:v>PREM-250-299</x:v>
      </x:c>
      <x:c r="B36" s="41" t="str">
        <x:v>Premier</x:v>
      </x:c>
      <x:c r="C36" s="41" t="str">
        <x:v>250K-299K</x:v>
      </x:c>
      <x:c r="D36" s="41" t="n">
        <x:v>250000</x:v>
      </x:c>
      <x:c r="E36" s="41" t="n">
        <x:v>299999</x:v>
      </x:c>
      <x:c r="F36" s="41" t="n">
        <x:v>4</x:v>
      </x:c>
      <x:c r="G36" s="41" t="str">
        <x:v>Benches</x:v>
      </x:c>
      <x:c r="H36" s="41" t="str">
        <x:v>Olympic Flat Bench</x:v>
      </x:c>
      <x:c r="I36" s="41" t="str">
        <x:v>benches_olympic_flat_bench</x:v>
      </x:c>
      <x:c r="J36" s="41" t="str">
        <x:v>TQL63</x:v>
      </x:c>
      <x:c r="K36" s="41" t="str">
        <x:v>Flat Olympic Bench</x:v>
      </x:c>
      <x:c r="L36" s="41" t="str">
        <x:v>Premier</x:v>
      </x:c>
      <x:c r="M36" s="41" t="n">
        <x:v>1</x:v>
      </x:c>
      <x:c r="N36" s="42" t="n">
        <x:v>2430</x:v>
      </x:c>
      <x:c r="O36" s="42" t="n">
        <x:f>M36*N36</x:f>
        <x:v>2430</x:v>
      </x:c>
      <x:c r="P36" s="50" t="n">
        <x:v>0.05</x:v>
      </x:c>
      <x:c r="Q36" s="42" t="n">
        <x:f>O36*P36</x:f>
        <x:v>121.5</x:v>
      </x:c>
      <x:c r="R36" s="42" t="n">
        <x:f>O36+Q36</x:f>
        <x:v>2551.5</x:v>
      </x:c>
      <x:c r="S36" s="41" t="str">
        <x:v>Budget-tier quantity</x:v>
      </x:c>
      <x:c r="T36" s="41" t="n">
        <x:v>5</x:v>
      </x:c>
      <x:c r="U36" s="41" t="str">
        <x:v>No</x:v>
      </x:c>
      <x:c r="V36" s="41" t="str">
        <x:v>Bench quantity scales with gym capacity.</x:v>
      </x:c>
    </x:row>
    <x:row r="37">
      <x:c r="A37" s="41" t="str">
        <x:v>PREM-250-299</x:v>
      </x:c>
      <x:c r="B37" s="41" t="str">
        <x:v>Premier</x:v>
      </x:c>
      <x:c r="C37" s="41" t="str">
        <x:v>250K-299K</x:v>
      </x:c>
      <x:c r="D37" s="41" t="n">
        <x:v>250000</x:v>
      </x:c>
      <x:c r="E37" s="41" t="n">
        <x:v>299999</x:v>
      </x:c>
      <x:c r="F37" s="41" t="n">
        <x:v>4</x:v>
      </x:c>
      <x:c r="G37" s="41" t="str">
        <x:v>Benches</x:v>
      </x:c>
      <x:c r="H37" s="41" t="str">
        <x:v>Olympic Incline Bench</x:v>
      </x:c>
      <x:c r="I37" s="41" t="str">
        <x:v>benches_olympic_incline_bench</x:v>
      </x:c>
      <x:c r="J37" s="41" t="str">
        <x:v>TQL64</x:v>
      </x:c>
      <x:c r="K37" s="41" t="str">
        <x:v>Incline Olympic Bench</x:v>
      </x:c>
      <x:c r="L37" s="41" t="str">
        <x:v>Premier</x:v>
      </x:c>
      <x:c r="M37" s="41" t="n">
        <x:v>1</x:v>
      </x:c>
      <x:c r="N37" s="42" t="n">
        <x:v>2430</x:v>
      </x:c>
      <x:c r="O37" s="42" t="n">
        <x:f>M37*N37</x:f>
        <x:v>2430</x:v>
      </x:c>
      <x:c r="P37" s="50" t="n">
        <x:v>0.05</x:v>
      </x:c>
      <x:c r="Q37" s="42" t="n">
        <x:f>O37*P37</x:f>
        <x:v>121.5</x:v>
      </x:c>
      <x:c r="R37" s="42" t="n">
        <x:f>O37+Q37</x:f>
        <x:v>2551.5</x:v>
      </x:c>
      <x:c r="S37" s="41" t="str">
        <x:v>Budget-tier quantity</x:v>
      </x:c>
      <x:c r="T37" s="41" t="n">
        <x:v>6</x:v>
      </x:c>
      <x:c r="U37" s="41" t="str">
        <x:v>No</x:v>
      </x:c>
      <x:c r="V37" s="41" t="str">
        <x:v>Bench quantity scales with gym capacity.</x:v>
      </x:c>
    </x:row>
    <x:row r="38">
      <x:c r="A38" s="41" t="str">
        <x:v>PREM-250-299</x:v>
      </x:c>
      <x:c r="B38" s="41" t="str">
        <x:v>Premier</x:v>
      </x:c>
      <x:c r="C38" s="41" t="str">
        <x:v>250K-299K</x:v>
      </x:c>
      <x:c r="D38" s="41" t="n">
        <x:v>250000</x:v>
      </x:c>
      <x:c r="E38" s="41" t="n">
        <x:v>299999</x:v>
      </x:c>
      <x:c r="F38" s="41" t="n">
        <x:v>5</x:v>
      </x:c>
      <x:c r="G38" s="41" t="str">
        <x:v>Free Weights</x:v>
      </x:c>
      <x:c r="H38" s="41" t="str">
        <x:v>Dumbbell Full Set 2.5–50kg</x:v>
      </x:c>
      <x:c r="I38" s="41" t="str">
        <x:v>free_weights_dumbbell_full_set_2_5_50kg</x:v>
      </x:c>
      <x:c r="J38" s="41" t="str">
        <x:v>PM1012-50</x:v>
      </x:c>
      <x:c r="K38" s="41" t="str">
        <x:v>Rubber Dumbbell Set - 2.5kg–50 kg</x:v>
      </x:c>
      <x:c r="L38" s="41" t="str">
        <x:v>Premier</x:v>
      </x:c>
      <x:c r="M38" s="41" t="n">
        <x:v>1</x:v>
      </x:c>
      <x:c r="N38" s="42" t="n">
        <x:v>13800</x:v>
      </x:c>
      <x:c r="O38" s="42" t="n">
        <x:f>M38*N38</x:f>
        <x:v>13800</x:v>
      </x:c>
      <x:c r="P38" s="50" t="n">
        <x:v>0.05</x:v>
      </x:c>
      <x:c r="Q38" s="42" t="n">
        <x:f>O38*P38</x:f>
        <x:v>690</x:v>
      </x:c>
      <x:c r="R38" s="42" t="n">
        <x:f>O38+Q38</x:f>
        <x:v>14490</x:v>
      </x:c>
      <x:c r="S38" s="41" t="str">
        <x:v>Brand-matched bundle</x:v>
      </x:c>
      <x:c r="T38" s="41" t="n">
        <x:v>1</x:v>
      </x:c>
      <x:c r="U38" s="41" t="str">
        <x:v>No</x:v>
      </x:c>
      <x:c r="V38" s="41" t="str">
        <x:v>Full set requires exactly 2 matching dumbbell racks.</x:v>
      </x:c>
    </x:row>
    <x:row r="39">
      <x:c r="A39" s="41" t="str">
        <x:v>PREM-250-299</x:v>
      </x:c>
      <x:c r="B39" s="41" t="str">
        <x:v>Premier</x:v>
      </x:c>
      <x:c r="C39" s="41" t="str">
        <x:v>250K-299K</x:v>
      </x:c>
      <x:c r="D39" s="41" t="n">
        <x:v>250000</x:v>
      </x:c>
      <x:c r="E39" s="41" t="n">
        <x:v>299999</x:v>
      </x:c>
      <x:c r="F39" s="41" t="n">
        <x:v>5</x:v>
      </x:c>
      <x:c r="G39" s="41" t="str">
        <x:v>Free Weights</x:v>
      </x:c>
      <x:c r="H39" s="41" t="str">
        <x:v>Dumbbell Rack</x:v>
      </x:c>
      <x:c r="I39" s="41" t="str">
        <x:v>free_weights_dumbbell_rack</x:v>
      </x:c>
      <x:c r="J39" s="41" t="str">
        <x:v>PM0011C</x:v>
      </x:c>
      <x:c r="K39" s="41" t="str">
        <x:v>Dumbbell Rack</x:v>
      </x:c>
      <x:c r="L39" s="41" t="str">
        <x:v>Premier</x:v>
      </x:c>
      <x:c r="M39" s="41" t="n">
        <x:v>2</x:v>
      </x:c>
      <x:c r="N39" s="42" t="n">
        <x:v>1400</x:v>
      </x:c>
      <x:c r="O39" s="42" t="n">
        <x:f>M39*N39</x:f>
        <x:v>2800</x:v>
      </x:c>
      <x:c r="P39" s="50" t="n">
        <x:v>0.05</x:v>
      </x:c>
      <x:c r="Q39" s="42" t="n">
        <x:f>O39*P39</x:f>
        <x:v>140</x:v>
      </x:c>
      <x:c r="R39" s="42" t="n">
        <x:f>O39+Q39</x:f>
        <x:v>2940</x:v>
      </x:c>
      <x:c r="S39" s="41" t="str">
        <x:v>Derived from dumbbell bundle</x:v>
      </x:c>
      <x:c r="T39" s="41" t="n">
        <x:v>3</x:v>
      </x:c>
      <x:c r="U39" s="41" t="str">
        <x:v>No</x:v>
      </x:c>
      <x:c r="V39" s="41" t="str">
        <x:v>2 racks per full set; 1 rack per half set.</x:v>
      </x:c>
    </x:row>
    <x:row r="40">
      <x:c r="A40" s="41" t="str">
        <x:v>PREM-250-299</x:v>
      </x:c>
      <x:c r="B40" s="41" t="str">
        <x:v>Premier</x:v>
      </x:c>
      <x:c r="C40" s="41" t="str">
        <x:v>250K-299K</x:v>
      </x:c>
      <x:c r="D40" s="41" t="n">
        <x:v>250000</x:v>
      </x:c>
      <x:c r="E40" s="41" t="n">
        <x:v>299999</x:v>
      </x:c>
      <x:c r="F40" s="41" t="n">
        <x:v>5</x:v>
      </x:c>
      <x:c r="G40" s="41" t="str">
        <x:v>Free Weights</x:v>
      </x:c>
      <x:c r="H40" s="41" t="str">
        <x:v>TPU Weight Plate 2.5kg</x:v>
      </x:c>
      <x:c r="I40" s="41" t="str">
        <x:v>free_weights_tpu_weight_plate_2_5kg</x:v>
      </x:c>
      <x:c r="J40" s="41" t="str">
        <x:v>PM2030C</x:v>
      </x:c>
      <x:c r="K40" s="41" t="str">
        <x:v>TPU Weight Plate - 2.5 kg</x:v>
      </x:c>
      <x:c r="L40" s="41" t="str">
        <x:v>Premier</x:v>
      </x:c>
      <x:c r="M40" s="41" t="n">
        <x:v>14</x:v>
      </x:c>
      <x:c r="N40" s="42" t="n">
        <x:v>40</x:v>
      </x:c>
      <x:c r="O40" s="42" t="n">
        <x:f>M40*N40</x:f>
        <x:v>560</x:v>
      </x:c>
      <x:c r="P40" s="50" t="n">
        <x:v>0.05</x:v>
      </x:c>
      <x:c r="Q40" s="42" t="n">
        <x:f>O40*P40</x:f>
        <x:v>28</x:v>
      </x:c>
      <x:c r="R40" s="42" t="n">
        <x:f>O40+Q40</x:f>
        <x:v>588</x:v>
      </x:c>
      <x:c r="S40" s="41" t="str">
        <x:v>Brand + premium family locked</x:v>
      </x:c>
      <x:c r="T40" s="41" t="n">
        <x:v>11</x:v>
      </x:c>
      <x:c r="U40" s="41" t="str">
        <x:v>No</x:v>
      </x:c>
      <x:c r="V40" s="41" t="str">
        <x:v>14 pcs each size. One complete family only; never mix plate families.</x:v>
      </x:c>
    </x:row>
    <x:row r="41">
      <x:c r="A41" s="41" t="str">
        <x:v>PREM-250-299</x:v>
      </x:c>
      <x:c r="B41" s="41" t="str">
        <x:v>Premier</x:v>
      </x:c>
      <x:c r="C41" s="41" t="str">
        <x:v>250K-299K</x:v>
      </x:c>
      <x:c r="D41" s="41" t="n">
        <x:v>250000</x:v>
      </x:c>
      <x:c r="E41" s="41" t="n">
        <x:v>299999</x:v>
      </x:c>
      <x:c r="F41" s="41" t="n">
        <x:v>5</x:v>
      </x:c>
      <x:c r="G41" s="41" t="str">
        <x:v>Free Weights</x:v>
      </x:c>
      <x:c r="H41" s="41" t="str">
        <x:v>TPU Weight Plate 5kg</x:v>
      </x:c>
      <x:c r="I41" s="41" t="str">
        <x:v>free_weights_tpu_weight_plate_5kg</x:v>
      </x:c>
      <x:c r="J41" s="41" t="str">
        <x:v>PM2030C-5</x:v>
      </x:c>
      <x:c r="K41" s="41" t="str">
        <x:v>TPU Weight Plate - 5 kg</x:v>
      </x:c>
      <x:c r="L41" s="41" t="str">
        <x:v>Premier</x:v>
      </x:c>
      <x:c r="M41" s="41" t="n">
        <x:v>14</x:v>
      </x:c>
      <x:c r="N41" s="42" t="n">
        <x:v>80</x:v>
      </x:c>
      <x:c r="O41" s="42" t="n">
        <x:f>M41*N41</x:f>
        <x:v>1120</x:v>
      </x:c>
      <x:c r="P41" s="50" t="n">
        <x:v>0.05</x:v>
      </x:c>
      <x:c r="Q41" s="42" t="n">
        <x:f>O41*P41</x:f>
        <x:v>56</x:v>
      </x:c>
      <x:c r="R41" s="42" t="n">
        <x:f>O41+Q41</x:f>
        <x:v>1176</x:v>
      </x:c>
      <x:c r="S41" s="41" t="str">
        <x:v>Brand + premium family locked</x:v>
      </x:c>
      <x:c r="T41" s="41" t="n">
        <x:v>12</x:v>
      </x:c>
      <x:c r="U41" s="41" t="str">
        <x:v>No</x:v>
      </x:c>
      <x:c r="V41" s="41" t="str">
        <x:v>14 pcs each size. One complete family only; never mix plate families.</x:v>
      </x:c>
    </x:row>
    <x:row r="42">
      <x:c r="A42" s="41" t="str">
        <x:v>PREM-250-299</x:v>
      </x:c>
      <x:c r="B42" s="41" t="str">
        <x:v>Premier</x:v>
      </x:c>
      <x:c r="C42" s="41" t="str">
        <x:v>250K-299K</x:v>
      </x:c>
      <x:c r="D42" s="41" t="n">
        <x:v>250000</x:v>
      </x:c>
      <x:c r="E42" s="41" t="n">
        <x:v>299999</x:v>
      </x:c>
      <x:c r="F42" s="41" t="n">
        <x:v>5</x:v>
      </x:c>
      <x:c r="G42" s="41" t="str">
        <x:v>Free Weights</x:v>
      </x:c>
      <x:c r="H42" s="41" t="str">
        <x:v>TPU Weight Plate 10kg</x:v>
      </x:c>
      <x:c r="I42" s="41" t="str">
        <x:v>free_weights_tpu_weight_plate_10kg</x:v>
      </x:c>
      <x:c r="J42" s="41" t="str">
        <x:v>PM2030C-10</x:v>
      </x:c>
      <x:c r="K42" s="41" t="str">
        <x:v>TPU Weight Plate - 10 kg</x:v>
      </x:c>
      <x:c r="L42" s="41" t="str">
        <x:v>Premier</x:v>
      </x:c>
      <x:c r="M42" s="41" t="n">
        <x:v>14</x:v>
      </x:c>
      <x:c r="N42" s="42" t="n">
        <x:v>160</x:v>
      </x:c>
      <x:c r="O42" s="42" t="n">
        <x:f>M42*N42</x:f>
        <x:v>2240</x:v>
      </x:c>
      <x:c r="P42" s="50" t="n">
        <x:v>0.05</x:v>
      </x:c>
      <x:c r="Q42" s="42" t="n">
        <x:f>O42*P42</x:f>
        <x:v>112</x:v>
      </x:c>
      <x:c r="R42" s="42" t="n">
        <x:f>O42+Q42</x:f>
        <x:v>2352</x:v>
      </x:c>
      <x:c r="S42" s="41" t="str">
        <x:v>Brand + premium family locked</x:v>
      </x:c>
      <x:c r="T42" s="41" t="n">
        <x:v>13</x:v>
      </x:c>
      <x:c r="U42" s="41" t="str">
        <x:v>No</x:v>
      </x:c>
      <x:c r="V42" s="41" t="str">
        <x:v>14 pcs each size. One complete family only; never mix plate families.</x:v>
      </x:c>
    </x:row>
    <x:row r="43">
      <x:c r="A43" s="41" t="str">
        <x:v>PREM-250-299</x:v>
      </x:c>
      <x:c r="B43" s="41" t="str">
        <x:v>Premier</x:v>
      </x:c>
      <x:c r="C43" s="41" t="str">
        <x:v>250K-299K</x:v>
      </x:c>
      <x:c r="D43" s="41" t="n">
        <x:v>250000</x:v>
      </x:c>
      <x:c r="E43" s="41" t="n">
        <x:v>299999</x:v>
      </x:c>
      <x:c r="F43" s="41" t="n">
        <x:v>5</x:v>
      </x:c>
      <x:c r="G43" s="41" t="str">
        <x:v>Free Weights</x:v>
      </x:c>
      <x:c r="H43" s="41" t="str">
        <x:v>TPU Weight Plate 20kg</x:v>
      </x:c>
      <x:c r="I43" s="41" t="str">
        <x:v>free_weights_tpu_weight_plate_20kg</x:v>
      </x:c>
      <x:c r="J43" s="41" t="str">
        <x:v>PM2030C-20</x:v>
      </x:c>
      <x:c r="K43" s="41" t="str">
        <x:v>TPU Weight Plate - 20 kg</x:v>
      </x:c>
      <x:c r="L43" s="41" t="str">
        <x:v>Premier</x:v>
      </x:c>
      <x:c r="M43" s="41" t="n">
        <x:v>14</x:v>
      </x:c>
      <x:c r="N43" s="42" t="n">
        <x:v>320</x:v>
      </x:c>
      <x:c r="O43" s="42" t="n">
        <x:f>M43*N43</x:f>
        <x:v>4480</x:v>
      </x:c>
      <x:c r="P43" s="50" t="n">
        <x:v>0.05</x:v>
      </x:c>
      <x:c r="Q43" s="42" t="n">
        <x:f>O43*P43</x:f>
        <x:v>224</x:v>
      </x:c>
      <x:c r="R43" s="42" t="n">
        <x:f>O43+Q43</x:f>
        <x:v>4704</x:v>
      </x:c>
      <x:c r="S43" s="41" t="str">
        <x:v>Brand + premium family locked</x:v>
      </x:c>
      <x:c r="T43" s="41" t="n">
        <x:v>14</x:v>
      </x:c>
      <x:c r="U43" s="41" t="str">
        <x:v>No</x:v>
      </x:c>
      <x:c r="V43" s="41" t="str">
        <x:v>14 pcs each size. One complete family only; never mix plate families.</x:v>
      </x:c>
    </x:row>
    <x:row r="44">
      <x:c r="A44" s="41" t="str">
        <x:v>PREM-250-299</x:v>
      </x:c>
      <x:c r="B44" s="41" t="str">
        <x:v>Premier</x:v>
      </x:c>
      <x:c r="C44" s="41" t="str">
        <x:v>250K-299K</x:v>
      </x:c>
      <x:c r="D44" s="41" t="n">
        <x:v>250000</x:v>
      </x:c>
      <x:c r="E44" s="41" t="n">
        <x:v>299999</x:v>
      </x:c>
      <x:c r="F44" s="41" t="n">
        <x:v>5</x:v>
      </x:c>
      <x:c r="G44" s="41" t="str">
        <x:v>Free Weights</x:v>
      </x:c>
      <x:c r="H44" s="41" t="str">
        <x:v>Barbell Set</x:v>
      </x:c>
      <x:c r="I44" s="41" t="str">
        <x:v>free_weights_barbell_set</x:v>
      </x:c>
      <x:c r="J44" s="41" t="str">
        <x:v>PM3015-250</x:v>
      </x:c>
      <x:c r="K44" s="41" t="str">
        <x:v>Rubber Coated Barbell Set - (250 kg)</x:v>
      </x:c>
      <x:c r="L44" s="41" t="str">
        <x:v>Premier</x:v>
      </x:c>
      <x:c r="M44" s="41" t="n">
        <x:v>1</x:v>
      </x:c>
      <x:c r="N44" s="42" t="n">
        <x:v>3750</x:v>
      </x:c>
      <x:c r="O44" s="42" t="n">
        <x:f>M44*N44</x:f>
        <x:v>3750</x:v>
      </x:c>
      <x:c r="P44" s="50" t="n">
        <x:v>0.05</x:v>
      </x:c>
      <x:c r="Q44" s="42" t="n">
        <x:f>O44*P44</x:f>
        <x:v>187.5</x:v>
      </x:c>
      <x:c r="R44" s="42" t="n">
        <x:f>O44+Q44</x:f>
        <x:v>3937.5</x:v>
      </x:c>
      <x:c r="S44" s="41" t="str">
        <x:v>Complete set</x:v>
      </x:c>
      <x:c r="T44" s="41" t="n">
        <x:v>20</x:v>
      </x:c>
      <x:c r="U44" s="41" t="str">
        <x:v>No</x:v>
      </x:c>
      <x:c r="V44" s="41" t="str">
        <x:v>Complete barbell set; do not generate individual bars.</x:v>
      </x:c>
    </x:row>
    <x:row r="45">
      <x:c r="A45" s="41" t="str">
        <x:v>PREM-250-299</x:v>
      </x:c>
      <x:c r="B45" s="41" t="str">
        <x:v>Premier</x:v>
      </x:c>
      <x:c r="C45" s="41" t="str">
        <x:v>250K-299K</x:v>
      </x:c>
      <x:c r="D45" s="41" t="n">
        <x:v>250000</x:v>
      </x:c>
      <x:c r="E45" s="41" t="n">
        <x:v>299999</x:v>
      </x:c>
      <x:c r="F45" s="41" t="n">
        <x:v>5</x:v>
      </x:c>
      <x:c r="G45" s="41" t="str">
        <x:v>Free Weights</x:v>
      </x:c>
      <x:c r="H45" s="41" t="str">
        <x:v>Barbell Rack</x:v>
      </x:c>
      <x:c r="I45" s="41" t="str">
        <x:v>free_weights_barbell_rack</x:v>
      </x:c>
      <x:c r="J45" s="41" t="str">
        <x:v>PM0041</x:v>
      </x:c>
      <x:c r="K45" s="41" t="str">
        <x:v>Barbell Rack</x:v>
      </x:c>
      <x:c r="L45" s="41" t="str">
        <x:v>Premier</x:v>
      </x:c>
      <x:c r="M45" s="41" t="n">
        <x:v>1</x:v>
      </x:c>
      <x:c r="N45" s="42" t="n">
        <x:v>1200</x:v>
      </x:c>
      <x:c r="O45" s="42" t="n">
        <x:f>M45*N45</x:f>
        <x:v>1200</x:v>
      </x:c>
      <x:c r="P45" s="50" t="n">
        <x:v>0.05</x:v>
      </x:c>
      <x:c r="Q45" s="42" t="n">
        <x:f>O45*P45</x:f>
        <x:v>60</x:v>
      </x:c>
      <x:c r="R45" s="42" t="n">
        <x:f>O45+Q45</x:f>
        <x:v>1260</x:v>
      </x:c>
      <x:c r="S45" s="41" t="str">
        <x:v>1 matching rack per set</x:v>
      </x:c>
      <x:c r="T45" s="41" t="n">
        <x:v>21</x:v>
      </x:c>
      <x:c r="U45" s="41" t="str">
        <x:v>No</x:v>
      </x:c>
      <x:c r="V45" s="41" t="str">
        <x:v>Rack brand follows the gym brand; 1 rack per barbell set.</x:v>
      </x:c>
    </x:row>
    <x:row r="46">
      <x:c r="A46" s="41" t="str">
        <x:v>PREM-300-399</x:v>
      </x:c>
      <x:c r="B46" s="41" t="str">
        <x:v>Premier</x:v>
      </x:c>
      <x:c r="C46" s="41" t="str">
        <x:v>300K-399K</x:v>
      </x:c>
      <x:c r="D46" s="41" t="n">
        <x:v>300000</x:v>
      </x:c>
      <x:c r="E46" s="41" t="n">
        <x:v>399999</x:v>
      </x:c>
      <x:c r="F46" s="41" t="n">
        <x:v>1</x:v>
      </x:c>
      <x:c r="G46" s="41" t="str">
        <x:v>Cardio</x:v>
      </x:c>
      <x:c r="H46" s="41" t="str">
        <x:v>Treadmill</x:v>
      </x:c>
      <x:c r="I46" s="41" t="str">
        <x:v>cardio_treadmill</x:v>
      </x:c>
      <x:c r="J46" s="41" t="str">
        <x:v>6835TA-LED</x:v>
      </x:c>
      <x:c r="K46" s="41" t="str">
        <x:v>Treadmill LED Screen</x:v>
      </x:c>
      <x:c r="L46" s="41" t="str">
        <x:v>Premier</x:v>
      </x:c>
      <x:c r="M46" s="41" t="n">
        <x:v>6</x:v>
      </x:c>
      <x:c r="N46" s="42" t="n">
        <x:v>5850</x:v>
      </x:c>
      <x:c r="O46" s="42" t="n">
        <x:f>M46*N46</x:f>
        <x:v>35100</x:v>
      </x:c>
      <x:c r="P46" s="50" t="n">
        <x:v>0.05</x:v>
      </x:c>
      <x:c r="Q46" s="42" t="n">
        <x:f>O46*P46</x:f>
        <x:v>1755</x:v>
      </x:c>
      <x:c r="R46" s="42" t="n">
        <x:f>O46+Q46</x:f>
        <x:v>36855</x:v>
      </x:c>
      <x:c r="S46" s="41" t="str">
        <x:v>Fixed role; quantity scales by budget</x:v>
      </x:c>
      <x:c r="T46" s="41" t="n">
        <x:v>1</x:v>
      </x:c>
      <x:c r="U46" s="41" t="str">
        <x:v>No</x:v>
      </x:c>
      <x:c r="V46" s="41" t="str"/>
    </x:row>
    <x:row r="47">
      <x:c r="A47" s="41" t="str">
        <x:v>PREM-300-399</x:v>
      </x:c>
      <x:c r="B47" s="41" t="str">
        <x:v>Premier</x:v>
      </x:c>
      <x:c r="C47" s="41" t="str">
        <x:v>300K-399K</x:v>
      </x:c>
      <x:c r="D47" s="41" t="n">
        <x:v>300000</x:v>
      </x:c>
      <x:c r="E47" s="41" t="n">
        <x:v>399999</x:v>
      </x:c>
      <x:c r="F47" s="41" t="n">
        <x:v>1</x:v>
      </x:c>
      <x:c r="G47" s="41" t="str">
        <x:v>Cardio</x:v>
      </x:c>
      <x:c r="H47" s="41" t="str">
        <x:v>Cross Trainer</x:v>
      </x:c>
      <x:c r="I47" s="41" t="str">
        <x:v>cardio_cross_trainer</x:v>
      </x:c>
      <x:c r="J47" s="41" t="str">
        <x:v>E38001</x:v>
      </x:c>
      <x:c r="K47" s="41" t="str">
        <x:v>Elliptical Bike Commercial</x:v>
      </x:c>
      <x:c r="L47" s="41" t="str">
        <x:v>Premier</x:v>
      </x:c>
      <x:c r="M47" s="41" t="n">
        <x:v>3</x:v>
      </x:c>
      <x:c r="N47" s="42" t="n">
        <x:v>7500</x:v>
      </x:c>
      <x:c r="O47" s="42" t="n">
        <x:f>M47*N47</x:f>
        <x:v>22500</x:v>
      </x:c>
      <x:c r="P47" s="50" t="n">
        <x:v>0.05</x:v>
      </x:c>
      <x:c r="Q47" s="42" t="n">
        <x:f>O47*P47</x:f>
        <x:v>1125</x:v>
      </x:c>
      <x:c r="R47" s="42" t="n">
        <x:f>O47+Q47</x:f>
        <x:v>23625</x:v>
      </x:c>
      <x:c r="S47" s="41" t="str">
        <x:v>Fixed role; quantity scales by budget</x:v>
      </x:c>
      <x:c r="T47" s="41" t="n">
        <x:v>2</x:v>
      </x:c>
      <x:c r="U47" s="41" t="str">
        <x:v>No</x:v>
      </x:c>
      <x:c r="V47" s="41" t="str"/>
    </x:row>
    <x:row r="48">
      <x:c r="A48" s="41" t="str">
        <x:v>PREM-300-399</x:v>
      </x:c>
      <x:c r="B48" s="41" t="str">
        <x:v>Premier</x:v>
      </x:c>
      <x:c r="C48" s="41" t="str">
        <x:v>300K-399K</x:v>
      </x:c>
      <x:c r="D48" s="41" t="n">
        <x:v>300000</x:v>
      </x:c>
      <x:c r="E48" s="41" t="n">
        <x:v>399999</x:v>
      </x:c>
      <x:c r="F48" s="41" t="n">
        <x:v>1</x:v>
      </x:c>
      <x:c r="G48" s="41" t="str">
        <x:v>Cardio</x:v>
      </x:c>
      <x:c r="H48" s="41" t="str">
        <x:v>Upright Bike</x:v>
      </x:c>
      <x:c r="I48" s="41" t="str">
        <x:v>cardio_upright_bike</x:v>
      </x:c>
      <x:c r="J48" s="41" t="str">
        <x:v>B12101</x:v>
      </x:c>
      <x:c r="K48" s="41" t="str">
        <x:v>Upright Bike Commercial</x:v>
      </x:c>
      <x:c r="L48" s="41" t="str">
        <x:v>Premier</x:v>
      </x:c>
      <x:c r="M48" s="41" t="n">
        <x:v>2</x:v>
      </x:c>
      <x:c r="N48" s="42" t="n">
        <x:v>4750</x:v>
      </x:c>
      <x:c r="O48" s="42" t="n">
        <x:f>M48*N48</x:f>
        <x:v>9500</x:v>
      </x:c>
      <x:c r="P48" s="50" t="n">
        <x:v>0.05</x:v>
      </x:c>
      <x:c r="Q48" s="42" t="n">
        <x:f>O48*P48</x:f>
        <x:v>475</x:v>
      </x:c>
      <x:c r="R48" s="42" t="n">
        <x:f>O48+Q48</x:f>
        <x:v>9975</x:v>
      </x:c>
      <x:c r="S48" s="41" t="str">
        <x:v>Fixed role; quantity scales by budget</x:v>
      </x:c>
      <x:c r="T48" s="41" t="n">
        <x:v>3</x:v>
      </x:c>
      <x:c r="U48" s="41" t="str">
        <x:v>No</x:v>
      </x:c>
      <x:c r="V48" s="41" t="str"/>
    </x:row>
    <x:row r="49">
      <x:c r="A49" s="41" t="str">
        <x:v>PREM-300-399</x:v>
      </x:c>
      <x:c r="B49" s="41" t="str">
        <x:v>Premier</x:v>
      </x:c>
      <x:c r="C49" s="41" t="str">
        <x:v>300K-399K</x:v>
      </x:c>
      <x:c r="D49" s="41" t="n">
        <x:v>300000</x:v>
      </x:c>
      <x:c r="E49" s="41" t="n">
        <x:v>399999</x:v>
      </x:c>
      <x:c r="F49" s="41" t="n">
        <x:v>1</x:v>
      </x:c>
      <x:c r="G49" s="41" t="str">
        <x:v>Cardio</x:v>
      </x:c>
      <x:c r="H49" s="41" t="str">
        <x:v>Recumbent Bike</x:v>
      </x:c>
      <x:c r="I49" s="41" t="str">
        <x:v>cardio_recumbent_bike</x:v>
      </x:c>
      <x:c r="J49" s="41" t="str">
        <x:v>R12001</x:v>
      </x:c>
      <x:c r="K49" s="41" t="str">
        <x:v>Recumbent Bike Commercial</x:v>
      </x:c>
      <x:c r="L49" s="41" t="str">
        <x:v>Premier</x:v>
      </x:c>
      <x:c r="M49" s="41" t="n">
        <x:v>2</x:v>
      </x:c>
      <x:c r="N49" s="42" t="n">
        <x:v>5500</x:v>
      </x:c>
      <x:c r="O49" s="42" t="n">
        <x:f>M49*N49</x:f>
        <x:v>11000</x:v>
      </x:c>
      <x:c r="P49" s="50" t="n">
        <x:v>0.05</x:v>
      </x:c>
      <x:c r="Q49" s="42" t="n">
        <x:f>O49*P49</x:f>
        <x:v>550</x:v>
      </x:c>
      <x:c r="R49" s="42" t="n">
        <x:f>O49+Q49</x:f>
        <x:v>11550</x:v>
      </x:c>
      <x:c r="S49" s="41" t="str">
        <x:v>Fixed role; quantity scales by budget</x:v>
      </x:c>
      <x:c r="T49" s="41" t="n">
        <x:v>4</x:v>
      </x:c>
      <x:c r="U49" s="41" t="str">
        <x:v>No</x:v>
      </x:c>
      <x:c r="V49" s="41" t="str"/>
    </x:row>
    <x:row r="50">
      <x:c r="A50" s="41" t="str">
        <x:v>PREM-300-399</x:v>
      </x:c>
      <x:c r="B50" s="41" t="str">
        <x:v>Premier</x:v>
      </x:c>
      <x:c r="C50" s="41" t="str">
        <x:v>300K-399K</x:v>
      </x:c>
      <x:c r="D50" s="41" t="n">
        <x:v>300000</x:v>
      </x:c>
      <x:c r="E50" s="41" t="n">
        <x:v>399999</x:v>
      </x:c>
      <x:c r="F50" s="41" t="n">
        <x:v>1</x:v>
      </x:c>
      <x:c r="G50" s="41" t="str">
        <x:v>Cardio</x:v>
      </x:c>
      <x:c r="H50" s="41" t="str">
        <x:v>Spinning Bike</x:v>
      </x:c>
      <x:c r="I50" s="41" t="str">
        <x:v>cardio_spinning_bike</x:v>
      </x:c>
      <x:c r="J50" s="41" t="str">
        <x:v>CD-006</x:v>
      </x:c>
      <x:c r="K50" s="41" t="str">
        <x:v>Spinning Bike</x:v>
      </x:c>
      <x:c r="L50" s="41" t="str">
        <x:v>Burnsport</x:v>
      </x:c>
      <x:c r="M50" s="41" t="n">
        <x:v>4</x:v>
      </x:c>
      <x:c r="N50" s="42" t="n">
        <x:v>3500</x:v>
      </x:c>
      <x:c r="O50" s="42" t="n">
        <x:f>M50*N50</x:f>
        <x:v>14000</x:v>
      </x:c>
      <x:c r="P50" s="50" t="n">
        <x:v>0.05</x:v>
      </x:c>
      <x:c r="Q50" s="42" t="n">
        <x:f>O50*P50</x:f>
        <x:v>700</x:v>
      </x:c>
      <x:c r="R50" s="42" t="n">
        <x:f>O50+Q50</x:f>
        <x:v>14700</x:v>
      </x:c>
      <x:c r="S50" s="41" t="str">
        <x:v>Fixed role; quantity scales by budget</x:v>
      </x:c>
      <x:c r="T50" s="41" t="n">
        <x:v>5</x:v>
      </x:c>
      <x:c r="U50" s="41" t="str">
        <x:v>Yes</x:v>
      </x:c>
      <x:c r="V50" s="41" t="str">
        <x:v>Premier commercial spinning bike is not present in the uploaded source; Burnsport CD-006 is the current fallback.</x:v>
      </x:c>
    </x:row>
    <x:row r="51">
      <x:c r="A51" s="41" t="str">
        <x:v>PREM-300-399</x:v>
      </x:c>
      <x:c r="B51" s="41" t="str">
        <x:v>Premier</x:v>
      </x:c>
      <x:c r="C51" s="41" t="str">
        <x:v>300K-399K</x:v>
      </x:c>
      <x:c r="D51" s="41" t="n">
        <x:v>300000</x:v>
      </x:c>
      <x:c r="E51" s="41" t="n">
        <x:v>399999</x:v>
      </x:c>
      <x:c r="F51" s="41" t="n">
        <x:v>1</x:v>
      </x:c>
      <x:c r="G51" s="41" t="str">
        <x:v>Cardio</x:v>
      </x:c>
      <x:c r="H51" s="41" t="str">
        <x:v>Stair Master</x:v>
      </x:c>
      <x:c r="I51" s="41" t="str">
        <x:v>cardio_stair_master</x:v>
      </x:c>
      <x:c r="J51" s="41" t="str">
        <x:v>PR159</x:v>
      </x:c>
      <x:c r="K51" s="41" t="str">
        <x:v>Stair Master</x:v>
      </x:c>
      <x:c r="L51" s="41" t="str">
        <x:v>Premier</x:v>
      </x:c>
      <x:c r="M51" s="41" t="n">
        <x:v>1</x:v>
      </x:c>
      <x:c r="N51" s="42" t="n">
        <x:v>9500</x:v>
      </x:c>
      <x:c r="O51" s="42" t="n">
        <x:f>M51*N51</x:f>
        <x:v>9500</x:v>
      </x:c>
      <x:c r="P51" s="50" t="n">
        <x:v>0.05</x:v>
      </x:c>
      <x:c r="Q51" s="42" t="n">
        <x:f>O51*P51</x:f>
        <x:v>475</x:v>
      </x:c>
      <x:c r="R51" s="42" t="n">
        <x:f>O51+Q51</x:f>
        <x:v>9975</x:v>
      </x:c>
      <x:c r="S51" s="41" t="str">
        <x:v>Fixed role; quantity scales by budget</x:v>
      </x:c>
      <x:c r="T51" s="41" t="n">
        <x:v>6</x:v>
      </x:c>
      <x:c r="U51" s="41" t="str">
        <x:v>No</x:v>
      </x:c>
      <x:c r="V51" s="41" t="str"/>
    </x:row>
    <x:row r="52">
      <x:c r="A52" s="41" t="str">
        <x:v>PREM-300-399</x:v>
      </x:c>
      <x:c r="B52" s="41" t="str">
        <x:v>Premier</x:v>
      </x:c>
      <x:c r="C52" s="41" t="str">
        <x:v>300K-399K</x:v>
      </x:c>
      <x:c r="D52" s="41" t="n">
        <x:v>300000</x:v>
      </x:c>
      <x:c r="E52" s="41" t="n">
        <x:v>399999</x:v>
      </x:c>
      <x:c r="F52" s="41" t="n">
        <x:v>1</x:v>
      </x:c>
      <x:c r="G52" s="41" t="str">
        <x:v>Cardio</x:v>
      </x:c>
      <x:c r="H52" s="41" t="str">
        <x:v>Rower</x:v>
      </x:c>
      <x:c r="I52" s="41" t="str">
        <x:v>cardio_rower</x:v>
      </x:c>
      <x:c r="J52" s="41" t="str">
        <x:v>PR536</x:v>
      </x:c>
      <x:c r="K52" s="41" t="str">
        <x:v>Rower</x:v>
      </x:c>
      <x:c r="L52" s="41" t="str">
        <x:v>Premier</x:v>
      </x:c>
      <x:c r="M52" s="41" t="n">
        <x:v>1</x:v>
      </x:c>
      <x:c r="N52" s="42" t="n">
        <x:v>2750</x:v>
      </x:c>
      <x:c r="O52" s="42" t="n">
        <x:f>M52*N52</x:f>
        <x:v>2750</x:v>
      </x:c>
      <x:c r="P52" s="50" t="n">
        <x:v>0.05</x:v>
      </x:c>
      <x:c r="Q52" s="42" t="n">
        <x:f>O52*P52</x:f>
        <x:v>137.5</x:v>
      </x:c>
      <x:c r="R52" s="42" t="n">
        <x:f>O52+Q52</x:f>
        <x:v>2887.5</x:v>
      </x:c>
      <x:c r="S52" s="41" t="str">
        <x:v>Fixed role; quantity scales by budget</x:v>
      </x:c>
      <x:c r="T52" s="41" t="n">
        <x:v>7</x:v>
      </x:c>
      <x:c r="U52" s="41" t="str">
        <x:v>No</x:v>
      </x:c>
      <x:c r="V52" s="41" t="str"/>
    </x:row>
    <x:row r="53">
      <x:c r="A53" s="41" t="str">
        <x:v>PREM-300-399</x:v>
      </x:c>
      <x:c r="B53" s="41" t="str">
        <x:v>Premier</x:v>
      </x:c>
      <x:c r="C53" s="41" t="str">
        <x:v>300K-399K</x:v>
      </x:c>
      <x:c r="D53" s="41" t="n">
        <x:v>300000</x:v>
      </x:c>
      <x:c r="E53" s="41" t="n">
        <x:v>399999</x:v>
      </x:c>
      <x:c r="F53" s="41" t="n">
        <x:v>1</x:v>
      </x:c>
      <x:c r="G53" s="41" t="str">
        <x:v>Cardio</x:v>
      </x:c>
      <x:c r="H53" s="41" t="str">
        <x:v>SkiErg</x:v>
      </x:c>
      <x:c r="I53" s="41" t="str">
        <x:v>cardio_skierg</x:v>
      </x:c>
      <x:c r="J53" s="41" t="str">
        <x:v>PR432</x:v>
      </x:c>
      <x:c r="K53" s="41" t="str">
        <x:v>Skeirg</x:v>
      </x:c>
      <x:c r="L53" s="41" t="str">
        <x:v>Premier</x:v>
      </x:c>
      <x:c r="M53" s="41" t="n">
        <x:v>1</x:v>
      </x:c>
      <x:c r="N53" s="42" t="n">
        <x:v>2850</x:v>
      </x:c>
      <x:c r="O53" s="42" t="n">
        <x:f>M53*N53</x:f>
        <x:v>2850</x:v>
      </x:c>
      <x:c r="P53" s="50" t="n">
        <x:v>0.05</x:v>
      </x:c>
      <x:c r="Q53" s="42" t="n">
        <x:f>O53*P53</x:f>
        <x:v>142.5</x:v>
      </x:c>
      <x:c r="R53" s="42" t="n">
        <x:f>O53+Q53</x:f>
        <x:v>2992.5</x:v>
      </x:c>
      <x:c r="S53" s="41" t="str">
        <x:v>Fixed role; quantity scales by budget</x:v>
      </x:c>
      <x:c r="T53" s="41" t="n">
        <x:v>8</x:v>
      </x:c>
      <x:c r="U53" s="41" t="str">
        <x:v>No</x:v>
      </x:c>
      <x:c r="V53" s="41" t="str"/>
    </x:row>
    <x:row r="54">
      <x:c r="A54" s="41" t="str">
        <x:v>PREM-300-399</x:v>
      </x:c>
      <x:c r="B54" s="41" t="str">
        <x:v>Premier</x:v>
      </x:c>
      <x:c r="C54" s="41" t="str">
        <x:v>300K-399K</x:v>
      </x:c>
      <x:c r="D54" s="41" t="n">
        <x:v>300000</x:v>
      </x:c>
      <x:c r="E54" s="41" t="n">
        <x:v>399999</x:v>
      </x:c>
      <x:c r="F54" s="41" t="n">
        <x:v>2</x:v>
      </x:c>
      <x:c r="G54" s="41" t="str">
        <x:v>Functional / Multi</x:v>
      </x:c>
      <x:c r="H54" s="41" t="str">
        <x:v>Smith Machine</x:v>
      </x:c>
      <x:c r="I54" s="41" t="str">
        <x:v>functional_multi_smith_machine</x:v>
      </x:c>
      <x:c r="J54" s="41" t="str">
        <x:v>APL01</x:v>
      </x:c>
      <x:c r="K54" s="41" t="str">
        <x:v>Smith Machine</x:v>
      </x:c>
      <x:c r="L54" s="41" t="str">
        <x:v>Premier</x:v>
      </x:c>
      <x:c r="M54" s="41" t="n">
        <x:v>1</x:v>
      </x:c>
      <x:c r="N54" s="42" t="n">
        <x:v>6560</x:v>
      </x:c>
      <x:c r="O54" s="42" t="n">
        <x:f>M54*N54</x:f>
        <x:v>6560</x:v>
      </x:c>
      <x:c r="P54" s="50" t="n">
        <x:v>0.05</x:v>
      </x:c>
      <x:c r="Q54" s="42" t="n">
        <x:f>O54*P54</x:f>
        <x:v>328</x:v>
      </x:c>
      <x:c r="R54" s="42" t="n">
        <x:f>O54+Q54</x:f>
        <x:v>6888</x:v>
      </x:c>
      <x:c r="S54" s="41" t="str">
        <x:v>Mandatory exactly 1</x:v>
      </x:c>
      <x:c r="T54" s="41" t="n">
        <x:v>1</x:v>
      </x:c>
      <x:c r="U54" s="41" t="str">
        <x:v>No</x:v>
      </x:c>
      <x:c r="V54" s="41" t="str">
        <x:v>Smith is mandatory in every full-gym profile.</x:v>
      </x:c>
    </x:row>
    <x:row r="55">
      <x:c r="A55" s="41" t="str">
        <x:v>PREM-300-399</x:v>
      </x:c>
      <x:c r="B55" s="41" t="str">
        <x:v>Premier</x:v>
      </x:c>
      <x:c r="C55" s="41" t="str">
        <x:v>300K-399K</x:v>
      </x:c>
      <x:c r="D55" s="41" t="n">
        <x:v>300000</x:v>
      </x:c>
      <x:c r="E55" s="41" t="n">
        <x:v>399999</x:v>
      </x:c>
      <x:c r="F55" s="41" t="n">
        <x:v>2</x:v>
      </x:c>
      <x:c r="G55" s="41" t="str">
        <x:v>Functional / Multi</x:v>
      </x:c>
      <x:c r="H55" s="41" t="str">
        <x:v>Functional Trainer</x:v>
      </x:c>
      <x:c r="I55" s="41" t="str">
        <x:v>functional_multi_functional_trainer</x:v>
      </x:c>
      <x:c r="J55" s="41" t="str">
        <x:v>APN37</x:v>
      </x:c>
      <x:c r="K55" s="41" t="str">
        <x:v>Functional Trainer &amp; Accessories</x:v>
      </x:c>
      <x:c r="L55" s="41" t="str">
        <x:v>Premier</x:v>
      </x:c>
      <x:c r="M55" s="41" t="n">
        <x:v>1</x:v>
      </x:c>
      <x:c r="N55" s="42" t="n">
        <x:v>10070</x:v>
      </x:c>
      <x:c r="O55" s="42" t="n">
        <x:f>M55*N55</x:f>
        <x:v>10070</x:v>
      </x:c>
      <x:c r="P55" s="50" t="n">
        <x:v>0.05</x:v>
      </x:c>
      <x:c r="Q55" s="42" t="n">
        <x:f>O55*P55</x:f>
        <x:v>503.5</x:v>
      </x:c>
      <x:c r="R55" s="42" t="n">
        <x:f>O55+Q55</x:f>
        <x:v>10573.5</x:v>
      </x:c>
      <x:c r="S55" s="41" t="str">
        <x:v>Mandatory exactly 1</x:v>
      </x:c>
      <x:c r="T55" s="41" t="n">
        <x:v>2</x:v>
      </x:c>
      <x:c r="U55" s="41" t="str">
        <x:v>No</x:v>
      </x:c>
      <x:c r="V55" s="41" t="str">
        <x:v>Functional Trainer is exactly 1.</x:v>
      </x:c>
    </x:row>
    <x:row r="56">
      <x:c r="A56" s="41" t="str">
        <x:v>PREM-300-399</x:v>
      </x:c>
      <x:c r="B56" s="41" t="str">
        <x:v>Premier</x:v>
      </x:c>
      <x:c r="C56" s="41" t="str">
        <x:v>300K-399K</x:v>
      </x:c>
      <x:c r="D56" s="41" t="n">
        <x:v>300000</x:v>
      </x:c>
      <x:c r="E56" s="41" t="n">
        <x:v>399999</x:v>
      </x:c>
      <x:c r="F56" s="41" t="n">
        <x:v>2</x:v>
      </x:c>
      <x:c r="G56" s="41" t="str">
        <x:v>Functional / Multi</x:v>
      </x:c>
      <x:c r="H56" s="41" t="str">
        <x:v>5 Station</x:v>
      </x:c>
      <x:c r="I56" s="41" t="str">
        <x:v>functional_multi_5_station</x:v>
      </x:c>
      <x:c r="J56" s="41" t="str">
        <x:v>APN42</x:v>
      </x:c>
      <x:c r="K56" s="41" t="str">
        <x:v>5 Station</x:v>
      </x:c>
      <x:c r="L56" s="41" t="str">
        <x:v>Premier</x:v>
      </x:c>
      <x:c r="M56" s="41" t="n">
        <x:v>1</x:v>
      </x:c>
      <x:c r="N56" s="42" t="n">
        <x:v>27150</x:v>
      </x:c>
      <x:c r="O56" s="42" t="n">
        <x:f>M56*N56</x:f>
        <x:v>27150</x:v>
      </x:c>
      <x:c r="P56" s="50" t="n">
        <x:v>0.05</x:v>
      </x:c>
      <x:c r="Q56" s="42" t="n">
        <x:f>O56*P56</x:f>
        <x:v>1357.5</x:v>
      </x:c>
      <x:c r="R56" s="42" t="n">
        <x:f>O56+Q56</x:f>
        <x:v>28507.5</x:v>
      </x:c>
      <x:c r="S56" s="41" t="str">
        <x:v>Budget-tier replacement</x:v>
      </x:c>
      <x:c r="T56" s="41" t="n">
        <x:v>3</x:v>
      </x:c>
      <x:c r="U56" s="41" t="str">
        <x:v>No</x:v>
      </x:c>
      <x:c r="V56" s="41" t="str">
        <x:v>Only 4 / 5 / 8 station are allowed; never combine station sizes.</x:v>
      </x:c>
    </x:row>
    <x:row r="57">
      <x:c r="A57" s="41" t="str">
        <x:v>PREM-300-399</x:v>
      </x:c>
      <x:c r="B57" s="41" t="str">
        <x:v>Premier</x:v>
      </x:c>
      <x:c r="C57" s="41" t="str">
        <x:v>300K-399K</x:v>
      </x:c>
      <x:c r="D57" s="41" t="n">
        <x:v>300000</x:v>
      </x:c>
      <x:c r="E57" s="41" t="n">
        <x:v>399999</x:v>
      </x:c>
      <x:c r="F57" s="41" t="n">
        <x:v>3</x:v>
      </x:c>
      <x:c r="G57" s="41" t="str">
        <x:v>Strength</x:v>
      </x:c>
      <x:c r="H57" s="41" t="str">
        <x:v>Chest</x:v>
      </x:c>
      <x:c r="I57" s="41" t="str">
        <x:v>strength_chest</x:v>
      </x:c>
      <x:c r="J57" s="41" t="str">
        <x:v>APN35</x:v>
      </x:c>
      <x:c r="K57" s="41" t="str">
        <x:v>Chest Press</x:v>
      </x:c>
      <x:c r="L57" s="41" t="str">
        <x:v>Premier</x:v>
      </x:c>
      <x:c r="M57" s="41" t="n">
        <x:v>1</x:v>
      </x:c>
      <x:c r="N57" s="42" t="n">
        <x:v>6470</x:v>
      </x:c>
      <x:c r="O57" s="42" t="n">
        <x:f>M57*N57</x:f>
        <x:v>6470</x:v>
      </x:c>
      <x:c r="P57" s="50" t="n">
        <x:v>0.05</x:v>
      </x:c>
      <x:c r="Q57" s="42" t="n">
        <x:f>O57*P57</x:f>
        <x:v>323.5</x:v>
      </x:c>
      <x:c r="R57" s="42" t="n">
        <x:f>O57+Q57</x:f>
        <x:v>6793.5</x:v>
      </x:c>
      <x:c r="S57" s="41" t="str">
        <x:v>Series-substitutable default (APN/APL reference)</x:v>
      </x:c>
      <x:c r="T57" s="41" t="n">
        <x:v>1</x:v>
      </x:c>
      <x:c r="U57" s="41" t="str">
        <x:v>No</x:v>
      </x:c>
      <x:c r="V57" s="41" t="str">
        <x:v>Keep the movement/area; if user selects another approved Premier series, substitute the exact product from that series.</x:v>
      </x:c>
    </x:row>
    <x:row r="58">
      <x:c r="A58" s="41" t="str">
        <x:v>PREM-300-399</x:v>
      </x:c>
      <x:c r="B58" s="41" t="str">
        <x:v>Premier</x:v>
      </x:c>
      <x:c r="C58" s="41" t="str">
        <x:v>300K-399K</x:v>
      </x:c>
      <x:c r="D58" s="41" t="n">
        <x:v>300000</x:v>
      </x:c>
      <x:c r="E58" s="41" t="n">
        <x:v>399999</x:v>
      </x:c>
      <x:c r="F58" s="41" t="n">
        <x:v>3</x:v>
      </x:c>
      <x:c r="G58" s="41" t="str">
        <x:v>Strength</x:v>
      </x:c>
      <x:c r="H58" s="41" t="str">
        <x:v>Chest</x:v>
      </x:c>
      <x:c r="I58" s="41" t="str">
        <x:v>strength_chest</x:v>
      </x:c>
      <x:c r="J58" s="41" t="str">
        <x:v>APL06</x:v>
      </x:c>
      <x:c r="K58" s="41" t="str">
        <x:v>Incline Chest Press</x:v>
      </x:c>
      <x:c r="L58" s="41" t="str">
        <x:v>Premier</x:v>
      </x:c>
      <x:c r="M58" s="41" t="n">
        <x:v>1</x:v>
      </x:c>
      <x:c r="N58" s="42" t="n">
        <x:v>4660</x:v>
      </x:c>
      <x:c r="O58" s="42" t="n">
        <x:f>M58*N58</x:f>
        <x:v>4660</x:v>
      </x:c>
      <x:c r="P58" s="50" t="n">
        <x:v>0.05</x:v>
      </x:c>
      <x:c r="Q58" s="42" t="n">
        <x:f>O58*P58</x:f>
        <x:v>233</x:v>
      </x:c>
      <x:c r="R58" s="42" t="n">
        <x:f>O58+Q58</x:f>
        <x:v>4893</x:v>
      </x:c>
      <x:c r="S58" s="41" t="str">
        <x:v>Series-substitutable default (APN/APL reference)</x:v>
      </x:c>
      <x:c r="T58" s="41" t="n">
        <x:v>2</x:v>
      </x:c>
      <x:c r="U58" s="41" t="str">
        <x:v>No</x:v>
      </x:c>
      <x:c r="V58" s="41" t="str">
        <x:v>Keep the movement/area; if user selects another approved Premier series, substitute the exact product from that series.</x:v>
      </x:c>
    </x:row>
    <x:row r="59">
      <x:c r="A59" s="41" t="str">
        <x:v>PREM-300-399</x:v>
      </x:c>
      <x:c r="B59" s="41" t="str">
        <x:v>Premier</x:v>
      </x:c>
      <x:c r="C59" s="41" t="str">
        <x:v>300K-399K</x:v>
      </x:c>
      <x:c r="D59" s="41" t="n">
        <x:v>300000</x:v>
      </x:c>
      <x:c r="E59" s="41" t="n">
        <x:v>399999</x:v>
      </x:c>
      <x:c r="F59" s="41" t="n">
        <x:v>3</x:v>
      </x:c>
      <x:c r="G59" s="41" t="str">
        <x:v>Strength</x:v>
      </x:c>
      <x:c r="H59" s="41" t="str">
        <x:v>Chest</x:v>
      </x:c>
      <x:c r="I59" s="41" t="str">
        <x:v>strength_chest</x:v>
      </x:c>
      <x:c r="J59" s="41" t="str">
        <x:v>APL45</x:v>
      </x:c>
      <x:c r="K59" s="41" t="str">
        <x:v>Commercial Plate Loaded Incline Fly</x:v>
      </x:c>
      <x:c r="L59" s="41" t="str">
        <x:v>Premier</x:v>
      </x:c>
      <x:c r="M59" s="41" t="n">
        <x:v>1</x:v>
      </x:c>
      <x:c r="N59" s="42" t="n">
        <x:v>2680</x:v>
      </x:c>
      <x:c r="O59" s="42" t="n">
        <x:f>M59*N59</x:f>
        <x:v>2680</x:v>
      </x:c>
      <x:c r="P59" s="50" t="n">
        <x:v>0.05</x:v>
      </x:c>
      <x:c r="Q59" s="42" t="n">
        <x:f>O59*P59</x:f>
        <x:v>134</x:v>
      </x:c>
      <x:c r="R59" s="42" t="n">
        <x:f>O59+Q59</x:f>
        <x:v>2814</x:v>
      </x:c>
      <x:c r="S59" s="41" t="str">
        <x:v>Series-substitutable default (APN/APL reference)</x:v>
      </x:c>
      <x:c r="T59" s="41" t="n">
        <x:v>3</x:v>
      </x:c>
      <x:c r="U59" s="41" t="str">
        <x:v>No</x:v>
      </x:c>
      <x:c r="V59" s="41" t="str">
        <x:v>Keep the movement/area; if user selects another approved Premier series, substitute the exact product from that series.</x:v>
      </x:c>
    </x:row>
    <x:row r="60">
      <x:c r="A60" s="41" t="str">
        <x:v>PREM-300-399</x:v>
      </x:c>
      <x:c r="B60" s="41" t="str">
        <x:v>Premier</x:v>
      </x:c>
      <x:c r="C60" s="41" t="str">
        <x:v>300K-399K</x:v>
      </x:c>
      <x:c r="D60" s="41" t="n">
        <x:v>300000</x:v>
      </x:c>
      <x:c r="E60" s="41" t="n">
        <x:v>399999</x:v>
      </x:c>
      <x:c r="F60" s="41" t="n">
        <x:v>3</x:v>
      </x:c>
      <x:c r="G60" s="41" t="str">
        <x:v>Strength</x:v>
      </x:c>
      <x:c r="H60" s="41" t="str">
        <x:v>Shoulder</x:v>
      </x:c>
      <x:c r="I60" s="41" t="str">
        <x:v>strength_shoulder</x:v>
      </x:c>
      <x:c r="J60" s="41" t="str">
        <x:v>APN16</x:v>
      </x:c>
      <x:c r="K60" s="41" t="str">
        <x:v>Shoulder Press</x:v>
      </x:c>
      <x:c r="L60" s="41" t="str">
        <x:v>Premier</x:v>
      </x:c>
      <x:c r="M60" s="41" t="n">
        <x:v>1</x:v>
      </x:c>
      <x:c r="N60" s="42" t="n">
        <x:v>6140</x:v>
      </x:c>
      <x:c r="O60" s="42" t="n">
        <x:f>M60*N60</x:f>
        <x:v>6140</x:v>
      </x:c>
      <x:c r="P60" s="50" t="n">
        <x:v>0.05</x:v>
      </x:c>
      <x:c r="Q60" s="42" t="n">
        <x:f>O60*P60</x:f>
        <x:v>307</x:v>
      </x:c>
      <x:c r="R60" s="42" t="n">
        <x:f>O60+Q60</x:f>
        <x:v>6447</x:v>
      </x:c>
      <x:c r="S60" s="41" t="str">
        <x:v>Series-substitutable default (APN/APL reference)</x:v>
      </x:c>
      <x:c r="T60" s="41" t="n">
        <x:v>1</x:v>
      </x:c>
      <x:c r="U60" s="41" t="str">
        <x:v>No</x:v>
      </x:c>
      <x:c r="V60" s="41" t="str">
        <x:v>Keep the movement/area; if user selects another approved Premier series, substitute the exact product from that series.</x:v>
      </x:c>
    </x:row>
    <x:row r="61">
      <x:c r="A61" s="41" t="str">
        <x:v>PREM-300-399</x:v>
      </x:c>
      <x:c r="B61" s="41" t="str">
        <x:v>Premier</x:v>
      </x:c>
      <x:c r="C61" s="41" t="str">
        <x:v>300K-399K</x:v>
      </x:c>
      <x:c r="D61" s="41" t="n">
        <x:v>300000</x:v>
      </x:c>
      <x:c r="E61" s="41" t="n">
        <x:v>399999</x:v>
      </x:c>
      <x:c r="F61" s="41" t="n">
        <x:v>3</x:v>
      </x:c>
      <x:c r="G61" s="41" t="str">
        <x:v>Strength</x:v>
      </x:c>
      <x:c r="H61" s="41" t="str">
        <x:v>Shoulder</x:v>
      </x:c>
      <x:c r="I61" s="41" t="str">
        <x:v>strength_shoulder</x:v>
      </x:c>
      <x:c r="J61" s="41" t="str">
        <x:v>APN24</x:v>
      </x:c>
      <x:c r="K61" s="41" t="str">
        <x:v>Lateral Raise</x:v>
      </x:c>
      <x:c r="L61" s="41" t="str">
        <x:v>Premier</x:v>
      </x:c>
      <x:c r="M61" s="41" t="n">
        <x:v>1</x:v>
      </x:c>
      <x:c r="N61" s="42" t="n">
        <x:v>6140</x:v>
      </x:c>
      <x:c r="O61" s="42" t="n">
        <x:f>M61*N61</x:f>
        <x:v>6140</x:v>
      </x:c>
      <x:c r="P61" s="50" t="n">
        <x:v>0.05</x:v>
      </x:c>
      <x:c r="Q61" s="42" t="n">
        <x:f>O61*P61</x:f>
        <x:v>307</x:v>
      </x:c>
      <x:c r="R61" s="42" t="n">
        <x:f>O61+Q61</x:f>
        <x:v>6447</x:v>
      </x:c>
      <x:c r="S61" s="41" t="str">
        <x:v>Series-substitutable default (APN/APL reference)</x:v>
      </x:c>
      <x:c r="T61" s="41" t="n">
        <x:v>2</x:v>
      </x:c>
      <x:c r="U61" s="41" t="str">
        <x:v>No</x:v>
      </x:c>
      <x:c r="V61" s="41" t="str">
        <x:v>Keep the movement/area; if user selects another approved Premier series, substitute the exact product from that series.</x:v>
      </x:c>
    </x:row>
    <x:row r="62">
      <x:c r="A62" s="41" t="str">
        <x:v>PREM-300-399</x:v>
      </x:c>
      <x:c r="B62" s="41" t="str">
        <x:v>Premier</x:v>
      </x:c>
      <x:c r="C62" s="41" t="str">
        <x:v>300K-399K</x:v>
      </x:c>
      <x:c r="D62" s="41" t="n">
        <x:v>300000</x:v>
      </x:c>
      <x:c r="E62" s="41" t="n">
        <x:v>399999</x:v>
      </x:c>
      <x:c r="F62" s="41" t="n">
        <x:v>3</x:v>
      </x:c>
      <x:c r="G62" s="41" t="str">
        <x:v>Strength</x:v>
      </x:c>
      <x:c r="H62" s="41" t="str">
        <x:v>Shoulder</x:v>
      </x:c>
      <x:c r="I62" s="41" t="str">
        <x:v>strength_shoulder</x:v>
      </x:c>
      <x:c r="J62" s="41" t="str">
        <x:v>APL38</x:v>
      </x:c>
      <x:c r="K62" s="41" t="str">
        <x:v>Shoulder Press</x:v>
      </x:c>
      <x:c r="L62" s="41" t="str">
        <x:v>Premier</x:v>
      </x:c>
      <x:c r="M62" s="41" t="n">
        <x:v>1</x:v>
      </x:c>
      <x:c r="N62" s="42" t="n">
        <x:v>4210</x:v>
      </x:c>
      <x:c r="O62" s="42" t="n">
        <x:f>M62*N62</x:f>
        <x:v>4210</x:v>
      </x:c>
      <x:c r="P62" s="50" t="n">
        <x:v>0.05</x:v>
      </x:c>
      <x:c r="Q62" s="42" t="n">
        <x:f>O62*P62</x:f>
        <x:v>210.5</x:v>
      </x:c>
      <x:c r="R62" s="42" t="n">
        <x:f>O62+Q62</x:f>
        <x:v>4420.5</x:v>
      </x:c>
      <x:c r="S62" s="41" t="str">
        <x:v>Series-substitutable default (APN/APL reference)</x:v>
      </x:c>
      <x:c r="T62" s="41" t="n">
        <x:v>3</x:v>
      </x:c>
      <x:c r="U62" s="41" t="str">
        <x:v>No</x:v>
      </x:c>
      <x:c r="V62" s="41" t="str">
        <x:v>Keep the movement/area; if user selects another approved Premier series, substitute the exact product from that series.</x:v>
      </x:c>
    </x:row>
    <x:row r="63">
      <x:c r="A63" s="41" t="str">
        <x:v>PREM-300-399</x:v>
      </x:c>
      <x:c r="B63" s="41" t="str">
        <x:v>Premier</x:v>
      </x:c>
      <x:c r="C63" s="41" t="str">
        <x:v>300K-399K</x:v>
      </x:c>
      <x:c r="D63" s="41" t="n">
        <x:v>300000</x:v>
      </x:c>
      <x:c r="E63" s="41" t="n">
        <x:v>399999</x:v>
      </x:c>
      <x:c r="F63" s="41" t="n">
        <x:v>3</x:v>
      </x:c>
      <x:c r="G63" s="41" t="str">
        <x:v>Strength</x:v>
      </x:c>
      <x:c r="H63" s="41" t="str">
        <x:v>Back</x:v>
      </x:c>
      <x:c r="I63" s="41" t="str">
        <x:v>strength_back</x:v>
      </x:c>
      <x:c r="J63" s="41" t="str">
        <x:v>APN17</x:v>
      </x:c>
      <x:c r="K63" s="41" t="str">
        <x:v>Lat Pulldown</x:v>
      </x:c>
      <x:c r="L63" s="41" t="str">
        <x:v>Premier</x:v>
      </x:c>
      <x:c r="M63" s="41" t="n">
        <x:v>1</x:v>
      </x:c>
      <x:c r="N63" s="42" t="n">
        <x:v>6140</x:v>
      </x:c>
      <x:c r="O63" s="42" t="n">
        <x:f>M63*N63</x:f>
        <x:v>6140</x:v>
      </x:c>
      <x:c r="P63" s="50" t="n">
        <x:v>0.05</x:v>
      </x:c>
      <x:c r="Q63" s="42" t="n">
        <x:f>O63*P63</x:f>
        <x:v>307</x:v>
      </x:c>
      <x:c r="R63" s="42" t="n">
        <x:f>O63+Q63</x:f>
        <x:v>6447</x:v>
      </x:c>
      <x:c r="S63" s="41" t="str">
        <x:v>Series-substitutable default (APN/APL reference)</x:v>
      </x:c>
      <x:c r="T63" s="41" t="n">
        <x:v>1</x:v>
      </x:c>
      <x:c r="U63" s="41" t="str">
        <x:v>No</x:v>
      </x:c>
      <x:c r="V63" s="41" t="str">
        <x:v>Keep the movement/area; if user selects another approved Premier series, substitute the exact product from that series.</x:v>
      </x:c>
    </x:row>
    <x:row r="64">
      <x:c r="A64" s="41" t="str">
        <x:v>PREM-300-399</x:v>
      </x:c>
      <x:c r="B64" s="41" t="str">
        <x:v>Premier</x:v>
      </x:c>
      <x:c r="C64" s="41" t="str">
        <x:v>300K-399K</x:v>
      </x:c>
      <x:c r="D64" s="41" t="n">
        <x:v>300000</x:v>
      </x:c>
      <x:c r="E64" s="41" t="n">
        <x:v>399999</x:v>
      </x:c>
      <x:c r="F64" s="41" t="n">
        <x:v>3</x:v>
      </x:c>
      <x:c r="G64" s="41" t="str">
        <x:v>Strength</x:v>
      </x:c>
      <x:c r="H64" s="41" t="str">
        <x:v>Back</x:v>
      </x:c>
      <x:c r="I64" s="41" t="str">
        <x:v>strength_back</x:v>
      </x:c>
      <x:c r="J64" s="41" t="str">
        <x:v>APN15</x:v>
      </x:c>
      <x:c r="K64" s="41" t="str">
        <x:v>Seated Row</x:v>
      </x:c>
      <x:c r="L64" s="41" t="str">
        <x:v>Premier</x:v>
      </x:c>
      <x:c r="M64" s="41" t="n">
        <x:v>1</x:v>
      </x:c>
      <x:c r="N64" s="42" t="n">
        <x:v>6140</x:v>
      </x:c>
      <x:c r="O64" s="42" t="n">
        <x:f>M64*N64</x:f>
        <x:v>6140</x:v>
      </x:c>
      <x:c r="P64" s="50" t="n">
        <x:v>0.05</x:v>
      </x:c>
      <x:c r="Q64" s="42" t="n">
        <x:f>O64*P64</x:f>
        <x:v>307</x:v>
      </x:c>
      <x:c r="R64" s="42" t="n">
        <x:f>O64+Q64</x:f>
        <x:v>6447</x:v>
      </x:c>
      <x:c r="S64" s="41" t="str">
        <x:v>Series-substitutable default (APN/APL reference)</x:v>
      </x:c>
      <x:c r="T64" s="41" t="n">
        <x:v>2</x:v>
      </x:c>
      <x:c r="U64" s="41" t="str">
        <x:v>No</x:v>
      </x:c>
      <x:c r="V64" s="41" t="str">
        <x:v>Keep the movement/area; if user selects another approved Premier series, substitute the exact product from that series.</x:v>
      </x:c>
    </x:row>
    <x:row r="65">
      <x:c r="A65" s="41" t="str">
        <x:v>PREM-300-399</x:v>
      </x:c>
      <x:c r="B65" s="41" t="str">
        <x:v>Premier</x:v>
      </x:c>
      <x:c r="C65" s="41" t="str">
        <x:v>300K-399K</x:v>
      </x:c>
      <x:c r="D65" s="41" t="n">
        <x:v>300000</x:v>
      </x:c>
      <x:c r="E65" s="41" t="n">
        <x:v>399999</x:v>
      </x:c>
      <x:c r="F65" s="41" t="n">
        <x:v>3</x:v>
      </x:c>
      <x:c r="G65" s="41" t="str">
        <x:v>Strength</x:v>
      </x:c>
      <x:c r="H65" s="41" t="str">
        <x:v>Back</x:v>
      </x:c>
      <x:c r="I65" s="41" t="str">
        <x:v>strength_back</x:v>
      </x:c>
      <x:c r="J65" s="41" t="str">
        <x:v>APL11</x:v>
      </x:c>
      <x:c r="K65" s="41" t="str">
        <x:v>Low Row</x:v>
      </x:c>
      <x:c r="L65" s="41" t="str">
        <x:v>Premier</x:v>
      </x:c>
      <x:c r="M65" s="41" t="n">
        <x:v>1</x:v>
      </x:c>
      <x:c r="N65" s="42" t="n">
        <x:v>4660</x:v>
      </x:c>
      <x:c r="O65" s="42" t="n">
        <x:f>M65*N65</x:f>
        <x:v>4660</x:v>
      </x:c>
      <x:c r="P65" s="50" t="n">
        <x:v>0.05</x:v>
      </x:c>
      <x:c r="Q65" s="42" t="n">
        <x:f>O65*P65</x:f>
        <x:v>233</x:v>
      </x:c>
      <x:c r="R65" s="42" t="n">
        <x:f>O65+Q65</x:f>
        <x:v>4893</x:v>
      </x:c>
      <x:c r="S65" s="41" t="str">
        <x:v>Series-substitutable default (APN/APL reference)</x:v>
      </x:c>
      <x:c r="T65" s="41" t="n">
        <x:v>3</x:v>
      </x:c>
      <x:c r="U65" s="41" t="str">
        <x:v>No</x:v>
      </x:c>
      <x:c r="V65" s="41" t="str">
        <x:v>Keep the movement/area; if user selects another approved Premier series, substitute the exact product from that series.</x:v>
      </x:c>
    </x:row>
    <x:row r="66">
      <x:c r="A66" s="41" t="str">
        <x:v>PREM-300-399</x:v>
      </x:c>
      <x:c r="B66" s="41" t="str">
        <x:v>Premier</x:v>
      </x:c>
      <x:c r="C66" s="41" t="str">
        <x:v>300K-399K</x:v>
      </x:c>
      <x:c r="D66" s="41" t="n">
        <x:v>300000</x:v>
      </x:c>
      <x:c r="E66" s="41" t="n">
        <x:v>399999</x:v>
      </x:c>
      <x:c r="F66" s="41" t="n">
        <x:v>3</x:v>
      </x:c>
      <x:c r="G66" s="41" t="str">
        <x:v>Strength</x:v>
      </x:c>
      <x:c r="H66" s="41" t="str">
        <x:v>Back</x:v>
      </x:c>
      <x:c r="I66" s="41" t="str">
        <x:v>strength_back</x:v>
      </x:c>
      <x:c r="J66" s="41" t="str">
        <x:v>APL34</x:v>
      </x:c>
      <x:c r="K66" s="41" t="str">
        <x:v>Incline T-Bar Row With Adj Handle</x:v>
      </x:c>
      <x:c r="L66" s="41" t="str">
        <x:v>Premier</x:v>
      </x:c>
      <x:c r="M66" s="41" t="n">
        <x:v>1</x:v>
      </x:c>
      <x:c r="N66" s="42" t="n">
        <x:v>3500</x:v>
      </x:c>
      <x:c r="O66" s="42" t="n">
        <x:f>M66*N66</x:f>
        <x:v>3500</x:v>
      </x:c>
      <x:c r="P66" s="50" t="n">
        <x:v>0.05</x:v>
      </x:c>
      <x:c r="Q66" s="42" t="n">
        <x:f>O66*P66</x:f>
        <x:v>175</x:v>
      </x:c>
      <x:c r="R66" s="42" t="n">
        <x:f>O66+Q66</x:f>
        <x:v>3675</x:v>
      </x:c>
      <x:c r="S66" s="41" t="str">
        <x:v>Series-substitutable default (APN/APL reference)</x:v>
      </x:c>
      <x:c r="T66" s="41" t="n">
        <x:v>4</x:v>
      </x:c>
      <x:c r="U66" s="41" t="str">
        <x:v>No</x:v>
      </x:c>
      <x:c r="V66" s="41" t="str">
        <x:v>Keep the movement/area; if user selects another approved Premier series, substitute the exact product from that series.</x:v>
      </x:c>
    </x:row>
    <x:row r="67">
      <x:c r="A67" s="41" t="str">
        <x:v>PREM-300-399</x:v>
      </x:c>
      <x:c r="B67" s="41" t="str">
        <x:v>Premier</x:v>
      </x:c>
      <x:c r="C67" s="41" t="str">
        <x:v>300K-399K</x:v>
      </x:c>
      <x:c r="D67" s="41" t="n">
        <x:v>300000</x:v>
      </x:c>
      <x:c r="E67" s="41" t="n">
        <x:v>399999</x:v>
      </x:c>
      <x:c r="F67" s="41" t="n">
        <x:v>3</x:v>
      </x:c>
      <x:c r="G67" s="41" t="str">
        <x:v>Strength</x:v>
      </x:c>
      <x:c r="H67" s="41" t="str">
        <x:v>Arms</x:v>
      </x:c>
      <x:c r="I67" s="41" t="str">
        <x:v>strength_arms</x:v>
      </x:c>
      <x:c r="J67" s="41" t="str">
        <x:v>APN18</x:v>
      </x:c>
      <x:c r="K67" s="41" t="str">
        <x:v>Biceps Curl</x:v>
      </x:c>
      <x:c r="L67" s="41" t="str">
        <x:v>Premier</x:v>
      </x:c>
      <x:c r="M67" s="41" t="n">
        <x:v>1</x:v>
      </x:c>
      <x:c r="N67" s="42" t="n">
        <x:v>6140</x:v>
      </x:c>
      <x:c r="O67" s="42" t="n">
        <x:f>M67*N67</x:f>
        <x:v>6140</x:v>
      </x:c>
      <x:c r="P67" s="50" t="n">
        <x:v>0.05</x:v>
      </x:c>
      <x:c r="Q67" s="42" t="n">
        <x:f>O67*P67</x:f>
        <x:v>307</x:v>
      </x:c>
      <x:c r="R67" s="42" t="n">
        <x:f>O67+Q67</x:f>
        <x:v>6447</x:v>
      </x:c>
      <x:c r="S67" s="41" t="str">
        <x:v>Series-substitutable default (APN/APL reference)</x:v>
      </x:c>
      <x:c r="T67" s="41" t="n">
        <x:v>1</x:v>
      </x:c>
      <x:c r="U67" s="41" t="str">
        <x:v>No</x:v>
      </x:c>
      <x:c r="V67" s="41" t="str">
        <x:v>Keep the movement/area; if user selects another approved Premier series, substitute the exact product from that series.</x:v>
      </x:c>
    </x:row>
    <x:row r="68">
      <x:c r="A68" s="41" t="str">
        <x:v>PREM-300-399</x:v>
      </x:c>
      <x:c r="B68" s="41" t="str">
        <x:v>Premier</x:v>
      </x:c>
      <x:c r="C68" s="41" t="str">
        <x:v>300K-399K</x:v>
      </x:c>
      <x:c r="D68" s="41" t="n">
        <x:v>300000</x:v>
      </x:c>
      <x:c r="E68" s="41" t="n">
        <x:v>399999</x:v>
      </x:c>
      <x:c r="F68" s="41" t="n">
        <x:v>3</x:v>
      </x:c>
      <x:c r="G68" s="41" t="str">
        <x:v>Strength</x:v>
      </x:c>
      <x:c r="H68" s="41" t="str">
        <x:v>Arms</x:v>
      </x:c>
      <x:c r="I68" s="41" t="str">
        <x:v>strength_arms</x:v>
      </x:c>
      <x:c r="J68" s="41" t="str">
        <x:v>APN19</x:v>
      </x:c>
      <x:c r="K68" s="41" t="str">
        <x:v>Triceps Extension</x:v>
      </x:c>
      <x:c r="L68" s="41" t="str">
        <x:v>Premier</x:v>
      </x:c>
      <x:c r="M68" s="41" t="n">
        <x:v>1</x:v>
      </x:c>
      <x:c r="N68" s="42" t="n">
        <x:v>6140</x:v>
      </x:c>
      <x:c r="O68" s="42" t="n">
        <x:f>M68*N68</x:f>
        <x:v>6140</x:v>
      </x:c>
      <x:c r="P68" s="50" t="n">
        <x:v>0.05</x:v>
      </x:c>
      <x:c r="Q68" s="42" t="n">
        <x:f>O68*P68</x:f>
        <x:v>307</x:v>
      </x:c>
      <x:c r="R68" s="42" t="n">
        <x:f>O68+Q68</x:f>
        <x:v>6447</x:v>
      </x:c>
      <x:c r="S68" s="41" t="str">
        <x:v>Series-substitutable default (APN/APL reference)</x:v>
      </x:c>
      <x:c r="T68" s="41" t="n">
        <x:v>2</x:v>
      </x:c>
      <x:c r="U68" s="41" t="str">
        <x:v>No</x:v>
      </x:c>
      <x:c r="V68" s="41" t="str">
        <x:v>Keep the movement/area; if user selects another approved Premier series, substitute the exact product from that series.</x:v>
      </x:c>
    </x:row>
    <x:row r="69">
      <x:c r="A69" s="41" t="str">
        <x:v>PREM-300-399</x:v>
      </x:c>
      <x:c r="B69" s="41" t="str">
        <x:v>Premier</x:v>
      </x:c>
      <x:c r="C69" s="41" t="str">
        <x:v>300K-399K</x:v>
      </x:c>
      <x:c r="D69" s="41" t="n">
        <x:v>300000</x:v>
      </x:c>
      <x:c r="E69" s="41" t="n">
        <x:v>399999</x:v>
      </x:c>
      <x:c r="F69" s="41" t="n">
        <x:v>3</x:v>
      </x:c>
      <x:c r="G69" s="41" t="str">
        <x:v>Strength</x:v>
      </x:c>
      <x:c r="H69" s="41" t="str">
        <x:v>Arms</x:v>
      </x:c>
      <x:c r="I69" s="41" t="str">
        <x:v>strength_arms</x:v>
      </x:c>
      <x:c r="J69" s="41" t="str">
        <x:v>APN07</x:v>
      </x:c>
      <x:c r="K69" s="41" t="str">
        <x:v>Biceps / Triceps Curl</x:v>
      </x:c>
      <x:c r="L69" s="41" t="str">
        <x:v>Premier</x:v>
      </x:c>
      <x:c r="M69" s="41" t="n">
        <x:v>1</x:v>
      </x:c>
      <x:c r="N69" s="42" t="n">
        <x:v>6140</x:v>
      </x:c>
      <x:c r="O69" s="42" t="n">
        <x:f>M69*N69</x:f>
        <x:v>6140</x:v>
      </x:c>
      <x:c r="P69" s="50" t="n">
        <x:v>0.05</x:v>
      </x:c>
      <x:c r="Q69" s="42" t="n">
        <x:f>O69*P69</x:f>
        <x:v>307</x:v>
      </x:c>
      <x:c r="R69" s="42" t="n">
        <x:f>O69+Q69</x:f>
        <x:v>6447</x:v>
      </x:c>
      <x:c r="S69" s="41" t="str">
        <x:v>Series-substitutable default (APN/APL reference)</x:v>
      </x:c>
      <x:c r="T69" s="41" t="n">
        <x:v>3</x:v>
      </x:c>
      <x:c r="U69" s="41" t="str">
        <x:v>No</x:v>
      </x:c>
      <x:c r="V69" s="41" t="str">
        <x:v>Keep the movement/area; if user selects another approved Premier series, substitute the exact product from that series.</x:v>
      </x:c>
    </x:row>
    <x:row r="70">
      <x:c r="A70" s="41" t="str">
        <x:v>PREM-300-399</x:v>
      </x:c>
      <x:c r="B70" s="41" t="str">
        <x:v>Premier</x:v>
      </x:c>
      <x:c r="C70" s="41" t="str">
        <x:v>300K-399K</x:v>
      </x:c>
      <x:c r="D70" s="41" t="n">
        <x:v>300000</x:v>
      </x:c>
      <x:c r="E70" s="41" t="n">
        <x:v>399999</x:v>
      </x:c>
      <x:c r="F70" s="41" t="n">
        <x:v>3</x:v>
      </x:c>
      <x:c r="G70" s="41" t="str">
        <x:v>Strength</x:v>
      </x:c>
      <x:c r="H70" s="41" t="str">
        <x:v>Core / Abs</x:v>
      </x:c>
      <x:c r="I70" s="41" t="str">
        <x:v>strength_core_abs</x:v>
      </x:c>
      <x:c r="J70" s="41" t="str">
        <x:v>APN30</x:v>
      </x:c>
      <x:c r="K70" s="41" t="str">
        <x:v>Total Abdominal</x:v>
      </x:c>
      <x:c r="L70" s="41" t="str">
        <x:v>Premier</x:v>
      </x:c>
      <x:c r="M70" s="41" t="n">
        <x:v>1</x:v>
      </x:c>
      <x:c r="N70" s="42" t="n">
        <x:v>6140</x:v>
      </x:c>
      <x:c r="O70" s="42" t="n">
        <x:f>M70*N70</x:f>
        <x:v>6140</x:v>
      </x:c>
      <x:c r="P70" s="50" t="n">
        <x:v>0.05</x:v>
      </x:c>
      <x:c r="Q70" s="42" t="n">
        <x:f>O70*P70</x:f>
        <x:v>307</x:v>
      </x:c>
      <x:c r="R70" s="42" t="n">
        <x:f>O70+Q70</x:f>
        <x:v>6447</x:v>
      </x:c>
      <x:c r="S70" s="41" t="str">
        <x:v>Series-substitutable default (APN/APL reference)</x:v>
      </x:c>
      <x:c r="T70" s="41" t="n">
        <x:v>1</x:v>
      </x:c>
      <x:c r="U70" s="41" t="str">
        <x:v>No</x:v>
      </x:c>
      <x:c r="V70" s="41" t="str">
        <x:v>Keep the movement/area; if user selects another approved Premier series, substitute the exact product from that series.</x:v>
      </x:c>
    </x:row>
    <x:row r="71">
      <x:c r="A71" s="41" t="str">
        <x:v>PREM-300-399</x:v>
      </x:c>
      <x:c r="B71" s="41" t="str">
        <x:v>Premier</x:v>
      </x:c>
      <x:c r="C71" s="41" t="str">
        <x:v>300K-399K</x:v>
      </x:c>
      <x:c r="D71" s="41" t="n">
        <x:v>300000</x:v>
      </x:c>
      <x:c r="E71" s="41" t="n">
        <x:v>399999</x:v>
      </x:c>
      <x:c r="F71" s="41" t="n">
        <x:v>3</x:v>
      </x:c>
      <x:c r="G71" s="41" t="str">
        <x:v>Strength</x:v>
      </x:c>
      <x:c r="H71" s="41" t="str">
        <x:v>Core / Abs</x:v>
      </x:c>
      <x:c r="I71" s="41" t="str">
        <x:v>strength_core_abs</x:v>
      </x:c>
      <x:c r="J71" s="41" t="str">
        <x:v>APN43</x:v>
      </x:c>
      <x:c r="K71" s="41" t="str">
        <x:v>Rotary Torso</x:v>
      </x:c>
      <x:c r="L71" s="41" t="str">
        <x:v>Premier</x:v>
      </x:c>
      <x:c r="M71" s="41" t="n">
        <x:v>1</x:v>
      </x:c>
      <x:c r="N71" s="42" t="n">
        <x:v>6140</x:v>
      </x:c>
      <x:c r="O71" s="42" t="n">
        <x:f>M71*N71</x:f>
        <x:v>6140</x:v>
      </x:c>
      <x:c r="P71" s="50" t="n">
        <x:v>0.05</x:v>
      </x:c>
      <x:c r="Q71" s="42" t="n">
        <x:f>O71*P71</x:f>
        <x:v>307</x:v>
      </x:c>
      <x:c r="R71" s="42" t="n">
        <x:f>O71+Q71</x:f>
        <x:v>6447</x:v>
      </x:c>
      <x:c r="S71" s="41" t="str">
        <x:v>Series-substitutable default (APN/APL reference)</x:v>
      </x:c>
      <x:c r="T71" s="41" t="n">
        <x:v>2</x:v>
      </x:c>
      <x:c r="U71" s="41" t="str">
        <x:v>No</x:v>
      </x:c>
      <x:c r="V71" s="41" t="str">
        <x:v>Keep the movement/area; if user selects another approved Premier series, substitute the exact product from that series.</x:v>
      </x:c>
    </x:row>
    <x:row r="72">
      <x:c r="A72" s="41" t="str">
        <x:v>PREM-300-399</x:v>
      </x:c>
      <x:c r="B72" s="41" t="str">
        <x:v>Premier</x:v>
      </x:c>
      <x:c r="C72" s="41" t="str">
        <x:v>300K-399K</x:v>
      </x:c>
      <x:c r="D72" s="41" t="n">
        <x:v>300000</x:v>
      </x:c>
      <x:c r="E72" s="41" t="n">
        <x:v>399999</x:v>
      </x:c>
      <x:c r="F72" s="41" t="n">
        <x:v>3</x:v>
      </x:c>
      <x:c r="G72" s="41" t="str">
        <x:v>Strength</x:v>
      </x:c>
      <x:c r="H72" s="41" t="str">
        <x:v>Legs</x:v>
      </x:c>
      <x:c r="I72" s="41" t="str">
        <x:v>strength_legs</x:v>
      </x:c>
      <x:c r="J72" s="41" t="str">
        <x:v>APN08</x:v>
      </x:c>
      <x:c r="K72" s="41" t="str">
        <x:v>Leg Press/Calf</x:v>
      </x:c>
      <x:c r="L72" s="41" t="str">
        <x:v>Premier</x:v>
      </x:c>
      <x:c r="M72" s="41" t="n">
        <x:v>1</x:v>
      </x:c>
      <x:c r="N72" s="42" t="n">
        <x:v>6470</x:v>
      </x:c>
      <x:c r="O72" s="42" t="n">
        <x:f>M72*N72</x:f>
        <x:v>6470</x:v>
      </x:c>
      <x:c r="P72" s="50" t="n">
        <x:v>0.05</x:v>
      </x:c>
      <x:c r="Q72" s="42" t="n">
        <x:f>O72*P72</x:f>
        <x:v>323.5</x:v>
      </x:c>
      <x:c r="R72" s="42" t="n">
        <x:f>O72+Q72</x:f>
        <x:v>6793.5</x:v>
      </x:c>
      <x:c r="S72" s="41" t="str">
        <x:v>Series-substitutable default (APN/APL reference)</x:v>
      </x:c>
      <x:c r="T72" s="41" t="n">
        <x:v>1</x:v>
      </x:c>
      <x:c r="U72" s="41" t="str">
        <x:v>No</x:v>
      </x:c>
      <x:c r="V72" s="41" t="str">
        <x:v>Keep the movement/area; if user selects another approved Premier series, substitute the exact product from that series.</x:v>
      </x:c>
    </x:row>
    <x:row r="73">
      <x:c r="A73" s="41" t="str">
        <x:v>PREM-300-399</x:v>
      </x:c>
      <x:c r="B73" s="41" t="str">
        <x:v>Premier</x:v>
      </x:c>
      <x:c r="C73" s="41" t="str">
        <x:v>300K-399K</x:v>
      </x:c>
      <x:c r="D73" s="41" t="n">
        <x:v>300000</x:v>
      </x:c>
      <x:c r="E73" s="41" t="n">
        <x:v>399999</x:v>
      </x:c>
      <x:c r="F73" s="41" t="n">
        <x:v>3</x:v>
      </x:c>
      <x:c r="G73" s="41" t="str">
        <x:v>Strength</x:v>
      </x:c>
      <x:c r="H73" s="41" t="str">
        <x:v>Legs</x:v>
      </x:c>
      <x:c r="I73" s="41" t="str">
        <x:v>strength_legs</x:v>
      </x:c>
      <x:c r="J73" s="41" t="str">
        <x:v>APN20</x:v>
      </x:c>
      <x:c r="K73" s="41" t="str">
        <x:v>Leg Extension</x:v>
      </x:c>
      <x:c r="L73" s="41" t="str">
        <x:v>Premier</x:v>
      </x:c>
      <x:c r="M73" s="41" t="n">
        <x:v>1</x:v>
      </x:c>
      <x:c r="N73" s="42" t="n">
        <x:v>6140</x:v>
      </x:c>
      <x:c r="O73" s="42" t="n">
        <x:f>M73*N73</x:f>
        <x:v>6140</x:v>
      </x:c>
      <x:c r="P73" s="50" t="n">
        <x:v>0.05</x:v>
      </x:c>
      <x:c r="Q73" s="42" t="n">
        <x:f>O73*P73</x:f>
        <x:v>307</x:v>
      </x:c>
      <x:c r="R73" s="42" t="n">
        <x:f>O73+Q73</x:f>
        <x:v>6447</x:v>
      </x:c>
      <x:c r="S73" s="41" t="str">
        <x:v>Series-substitutable default (APN/APL reference)</x:v>
      </x:c>
      <x:c r="T73" s="41" t="n">
        <x:v>2</x:v>
      </x:c>
      <x:c r="U73" s="41" t="str">
        <x:v>No</x:v>
      </x:c>
      <x:c r="V73" s="41" t="str">
        <x:v>Keep the movement/area; if user selects another approved Premier series, substitute the exact product from that series.</x:v>
      </x:c>
    </x:row>
    <x:row r="74">
      <x:c r="A74" s="41" t="str">
        <x:v>PREM-300-399</x:v>
      </x:c>
      <x:c r="B74" s="41" t="str">
        <x:v>Premier</x:v>
      </x:c>
      <x:c r="C74" s="41" t="str">
        <x:v>300K-399K</x:v>
      </x:c>
      <x:c r="D74" s="41" t="n">
        <x:v>300000</x:v>
      </x:c>
      <x:c r="E74" s="41" t="n">
        <x:v>399999</x:v>
      </x:c>
      <x:c r="F74" s="41" t="n">
        <x:v>3</x:v>
      </x:c>
      <x:c r="G74" s="41" t="str">
        <x:v>Strength</x:v>
      </x:c>
      <x:c r="H74" s="41" t="str">
        <x:v>Legs</x:v>
      </x:c>
      <x:c r="I74" s="41" t="str">
        <x:v>strength_legs</x:v>
      </x:c>
      <x:c r="J74" s="41" t="str">
        <x:v>APN21</x:v>
      </x:c>
      <x:c r="K74" s="41" t="str">
        <x:v>Prone Leg Curl</x:v>
      </x:c>
      <x:c r="L74" s="41" t="str">
        <x:v>Premier</x:v>
      </x:c>
      <x:c r="M74" s="41" t="n">
        <x:v>1</x:v>
      </x:c>
      <x:c r="N74" s="42" t="n">
        <x:v>6140</x:v>
      </x:c>
      <x:c r="O74" s="42" t="n">
        <x:f>M74*N74</x:f>
        <x:v>6140</x:v>
      </x:c>
      <x:c r="P74" s="50" t="n">
        <x:v>0.05</x:v>
      </x:c>
      <x:c r="Q74" s="42" t="n">
        <x:f>O74*P74</x:f>
        <x:v>307</x:v>
      </x:c>
      <x:c r="R74" s="42" t="n">
        <x:f>O74+Q74</x:f>
        <x:v>6447</x:v>
      </x:c>
      <x:c r="S74" s="41" t="str">
        <x:v>Series-substitutable default (APN/APL reference)</x:v>
      </x:c>
      <x:c r="T74" s="41" t="n">
        <x:v>3</x:v>
      </x:c>
      <x:c r="U74" s="41" t="str">
        <x:v>No</x:v>
      </x:c>
      <x:c r="V74" s="41" t="str">
        <x:v>Keep the movement/area; if user selects another approved Premier series, substitute the exact product from that series.</x:v>
      </x:c>
    </x:row>
    <x:row r="75">
      <x:c r="A75" s="41" t="str">
        <x:v>PREM-300-399</x:v>
      </x:c>
      <x:c r="B75" s="41" t="str">
        <x:v>Premier</x:v>
      </x:c>
      <x:c r="C75" s="41" t="str">
        <x:v>300K-399K</x:v>
      </x:c>
      <x:c r="D75" s="41" t="n">
        <x:v>300000</x:v>
      </x:c>
      <x:c r="E75" s="41" t="n">
        <x:v>399999</x:v>
      </x:c>
      <x:c r="F75" s="41" t="n">
        <x:v>3</x:v>
      </x:c>
      <x:c r="G75" s="41" t="str">
        <x:v>Strength</x:v>
      </x:c>
      <x:c r="H75" s="41" t="str">
        <x:v>Legs</x:v>
      </x:c>
      <x:c r="I75" s="41" t="str">
        <x:v>strength_legs</x:v>
      </x:c>
      <x:c r="J75" s="41" t="str">
        <x:v>APL43</x:v>
      </x:c>
      <x:c r="K75" s="41" t="str">
        <x:v>Hack Squat</x:v>
      </x:c>
      <x:c r="L75" s="41" t="str">
        <x:v>Premier</x:v>
      </x:c>
      <x:c r="M75" s="41" t="n">
        <x:v>1</x:v>
      </x:c>
      <x:c r="N75" s="42" t="n">
        <x:v>6410</x:v>
      </x:c>
      <x:c r="O75" s="42" t="n">
        <x:f>M75*N75</x:f>
        <x:v>6410</x:v>
      </x:c>
      <x:c r="P75" s="50" t="n">
        <x:v>0.05</x:v>
      </x:c>
      <x:c r="Q75" s="42" t="n">
        <x:f>O75*P75</x:f>
        <x:v>320.5</x:v>
      </x:c>
      <x:c r="R75" s="42" t="n">
        <x:f>O75+Q75</x:f>
        <x:v>6730.5</x:v>
      </x:c>
      <x:c r="S75" s="41" t="str">
        <x:v>Series-substitutable default (APN/APL reference)</x:v>
      </x:c>
      <x:c r="T75" s="41" t="n">
        <x:v>4</x:v>
      </x:c>
      <x:c r="U75" s="41" t="str">
        <x:v>No</x:v>
      </x:c>
      <x:c r="V75" s="41" t="str">
        <x:v>Keep the movement/area; if user selects another approved Premier series, substitute the exact product from that series.</x:v>
      </x:c>
    </x:row>
    <x:row r="76">
      <x:c r="A76" s="41" t="str">
        <x:v>PREM-300-399</x:v>
      </x:c>
      <x:c r="B76" s="41" t="str">
        <x:v>Premier</x:v>
      </x:c>
      <x:c r="C76" s="41" t="str">
        <x:v>300K-399K</x:v>
      </x:c>
      <x:c r="D76" s="41" t="n">
        <x:v>300000</x:v>
      </x:c>
      <x:c r="E76" s="41" t="n">
        <x:v>399999</x:v>
      </x:c>
      <x:c r="F76" s="41" t="n">
        <x:v>3</x:v>
      </x:c>
      <x:c r="G76" s="41" t="str">
        <x:v>Strength</x:v>
      </x:c>
      <x:c r="H76" s="41" t="str">
        <x:v>Legs</x:v>
      </x:c>
      <x:c r="I76" s="41" t="str">
        <x:v>strength_legs</x:v>
      </x:c>
      <x:c r="J76" s="41" t="str">
        <x:v>APL54</x:v>
      </x:c>
      <x:c r="K76" s="41" t="str">
        <x:v>Seated Calf Raise</x:v>
      </x:c>
      <x:c r="L76" s="41" t="str">
        <x:v>Premier</x:v>
      </x:c>
      <x:c r="M76" s="41" t="n">
        <x:v>1</x:v>
      </x:c>
      <x:c r="N76" s="42" t="n">
        <x:v>2140</x:v>
      </x:c>
      <x:c r="O76" s="42" t="n">
        <x:f>M76*N76</x:f>
        <x:v>2140</x:v>
      </x:c>
      <x:c r="P76" s="50" t="n">
        <x:v>0.05</x:v>
      </x:c>
      <x:c r="Q76" s="42" t="n">
        <x:f>O76*P76</x:f>
        <x:v>107</x:v>
      </x:c>
      <x:c r="R76" s="42" t="n">
        <x:f>O76+Q76</x:f>
        <x:v>2247</x:v>
      </x:c>
      <x:c r="S76" s="41" t="str">
        <x:v>Series-substitutable default (APN/APL reference)</x:v>
      </x:c>
      <x:c r="T76" s="41" t="n">
        <x:v>5</x:v>
      </x:c>
      <x:c r="U76" s="41" t="str">
        <x:v>No</x:v>
      </x:c>
      <x:c r="V76" s="41" t="str">
        <x:v>Keep the movement/area; if user selects another approved Premier series, substitute the exact product from that series.</x:v>
      </x:c>
    </x:row>
    <x:row r="77">
      <x:c r="A77" s="41" t="str">
        <x:v>PREM-300-399</x:v>
      </x:c>
      <x:c r="B77" s="41" t="str">
        <x:v>Premier</x:v>
      </x:c>
      <x:c r="C77" s="41" t="str">
        <x:v>300K-399K</x:v>
      </x:c>
      <x:c r="D77" s="41" t="n">
        <x:v>300000</x:v>
      </x:c>
      <x:c r="E77" s="41" t="n">
        <x:v>399999</x:v>
      </x:c>
      <x:c r="F77" s="41" t="n">
        <x:v>3</x:v>
      </x:c>
      <x:c r="G77" s="41" t="str">
        <x:v>Strength</x:v>
      </x:c>
      <x:c r="H77" s="41" t="str">
        <x:v>Glutes</x:v>
      </x:c>
      <x:c r="I77" s="41" t="str">
        <x:v>strength_glutes</x:v>
      </x:c>
      <x:c r="J77" s="41" t="str">
        <x:v>APN01</x:v>
      </x:c>
      <x:c r="K77" s="41" t="str">
        <x:v>Adductor / Abductor</x:v>
      </x:c>
      <x:c r="L77" s="41" t="str">
        <x:v>Premier</x:v>
      </x:c>
      <x:c r="M77" s="41" t="n">
        <x:v>1</x:v>
      </x:c>
      <x:c r="N77" s="42" t="n">
        <x:v>6140</x:v>
      </x:c>
      <x:c r="O77" s="42" t="n">
        <x:f>M77*N77</x:f>
        <x:v>6140</x:v>
      </x:c>
      <x:c r="P77" s="50" t="n">
        <x:v>0.05</x:v>
      </x:c>
      <x:c r="Q77" s="42" t="n">
        <x:f>O77*P77</x:f>
        <x:v>307</x:v>
      </x:c>
      <x:c r="R77" s="42" t="n">
        <x:f>O77+Q77</x:f>
        <x:v>6447</x:v>
      </x:c>
      <x:c r="S77" s="41" t="str">
        <x:v>Series-substitutable default (APN/APL reference)</x:v>
      </x:c>
      <x:c r="T77" s="41" t="n">
        <x:v>1</x:v>
      </x:c>
      <x:c r="U77" s="41" t="str">
        <x:v>No</x:v>
      </x:c>
      <x:c r="V77" s="41" t="str">
        <x:v>Keep the movement/area; if user selects another approved Premier series, substitute the exact product from that series.</x:v>
      </x:c>
    </x:row>
    <x:row r="78">
      <x:c r="A78" s="41" t="str">
        <x:v>PREM-300-399</x:v>
      </x:c>
      <x:c r="B78" s="41" t="str">
        <x:v>Premier</x:v>
      </x:c>
      <x:c r="C78" s="41" t="str">
        <x:v>300K-399K</x:v>
      </x:c>
      <x:c r="D78" s="41" t="n">
        <x:v>300000</x:v>
      </x:c>
      <x:c r="E78" s="41" t="n">
        <x:v>399999</x:v>
      </x:c>
      <x:c r="F78" s="41" t="n">
        <x:v>3</x:v>
      </x:c>
      <x:c r="G78" s="41" t="str">
        <x:v>Strength</x:v>
      </x:c>
      <x:c r="H78" s="41" t="str">
        <x:v>Glutes</x:v>
      </x:c>
      <x:c r="I78" s="41" t="str">
        <x:v>strength_glutes</x:v>
      </x:c>
      <x:c r="J78" s="41" t="str">
        <x:v>APN31</x:v>
      </x:c>
      <x:c r="K78" s="41" t="str">
        <x:v>Ultimate Pin Loaded Hip Thrust</x:v>
      </x:c>
      <x:c r="L78" s="41" t="str">
        <x:v>Premier</x:v>
      </x:c>
      <x:c r="M78" s="41" t="n">
        <x:v>1</x:v>
      </x:c>
      <x:c r="N78" s="42" t="n">
        <x:v>6840</x:v>
      </x:c>
      <x:c r="O78" s="42" t="n">
        <x:f>M78*N78</x:f>
        <x:v>6840</x:v>
      </x:c>
      <x:c r="P78" s="50" t="n">
        <x:v>0.05</x:v>
      </x:c>
      <x:c r="Q78" s="42" t="n">
        <x:f>O78*P78</x:f>
        <x:v>342</x:v>
      </x:c>
      <x:c r="R78" s="42" t="n">
        <x:f>O78+Q78</x:f>
        <x:v>7182</x:v>
      </x:c>
      <x:c r="S78" s="41" t="str">
        <x:v>Series-substitutable default (APN/APL reference)</x:v>
      </x:c>
      <x:c r="T78" s="41" t="n">
        <x:v>2</x:v>
      </x:c>
      <x:c r="U78" s="41" t="str">
        <x:v>No</x:v>
      </x:c>
      <x:c r="V78" s="41" t="str">
        <x:v>Keep the movement/area; if user selects another approved Premier series, substitute the exact product from that series.</x:v>
      </x:c>
    </x:row>
    <x:row r="79">
      <x:c r="A79" s="41" t="str">
        <x:v>PREM-300-399</x:v>
      </x:c>
      <x:c r="B79" s="41" t="str">
        <x:v>Premier</x:v>
      </x:c>
      <x:c r="C79" s="41" t="str">
        <x:v>300K-399K</x:v>
      </x:c>
      <x:c r="D79" s="41" t="n">
        <x:v>300000</x:v>
      </x:c>
      <x:c r="E79" s="41" t="n">
        <x:v>399999</x:v>
      </x:c>
      <x:c r="F79" s="41" t="n">
        <x:v>4</x:v>
      </x:c>
      <x:c r="G79" s="41" t="str">
        <x:v>Benches</x:v>
      </x:c>
      <x:c r="H79" s="41" t="str">
        <x:v>Adjustable Bench</x:v>
      </x:c>
      <x:c r="I79" s="41" t="str">
        <x:v>benches_adjustable_bench</x:v>
      </x:c>
      <x:c r="J79" s="41" t="str">
        <x:v>TQL73</x:v>
      </x:c>
      <x:c r="K79" s="41" t="str">
        <x:v>Adjustable Bench</x:v>
      </x:c>
      <x:c r="L79" s="41" t="str">
        <x:v>Premier</x:v>
      </x:c>
      <x:c r="M79" s="41" t="n">
        <x:v>4</x:v>
      </x:c>
      <x:c r="N79" s="42" t="n">
        <x:v>1810</x:v>
      </x:c>
      <x:c r="O79" s="42" t="n">
        <x:f>M79*N79</x:f>
        <x:v>7240</x:v>
      </x:c>
      <x:c r="P79" s="50" t="n">
        <x:v>0.05</x:v>
      </x:c>
      <x:c r="Q79" s="42" t="n">
        <x:f>O79*P79</x:f>
        <x:v>362</x:v>
      </x:c>
      <x:c r="R79" s="42" t="n">
        <x:f>O79+Q79</x:f>
        <x:v>7602</x:v>
      </x:c>
      <x:c r="S79" s="41" t="str">
        <x:v>Budget-tier quantity</x:v>
      </x:c>
      <x:c r="T79" s="41" t="n">
        <x:v>1</x:v>
      </x:c>
      <x:c r="U79" s="41" t="str">
        <x:v>No</x:v>
      </x:c>
      <x:c r="V79" s="41" t="str">
        <x:v>Bench quantity scales with gym capacity.</x:v>
      </x:c>
    </x:row>
    <x:row r="80">
      <x:c r="A80" s="41" t="str">
        <x:v>PREM-300-399</x:v>
      </x:c>
      <x:c r="B80" s="41" t="str">
        <x:v>Premier</x:v>
      </x:c>
      <x:c r="C80" s="41" t="str">
        <x:v>300K-399K</x:v>
      </x:c>
      <x:c r="D80" s="41" t="n">
        <x:v>300000</x:v>
      </x:c>
      <x:c r="E80" s="41" t="n">
        <x:v>399999</x:v>
      </x:c>
      <x:c r="F80" s="41" t="n">
        <x:v>4</x:v>
      </x:c>
      <x:c r="G80" s="41" t="str">
        <x:v>Benches</x:v>
      </x:c>
      <x:c r="H80" s="41" t="str">
        <x:v>Flat Bench</x:v>
      </x:c>
      <x:c r="I80" s="41" t="str">
        <x:v>benches_flat_bench</x:v>
      </x:c>
      <x:c r="J80" s="41" t="str">
        <x:v>TQL69</x:v>
      </x:c>
      <x:c r="K80" s="41" t="str">
        <x:v>Flat Bench</x:v>
      </x:c>
      <x:c r="L80" s="41" t="str">
        <x:v>Premier</x:v>
      </x:c>
      <x:c r="M80" s="41" t="n">
        <x:v>2</x:v>
      </x:c>
      <x:c r="N80" s="42" t="n">
        <x:v>960</x:v>
      </x:c>
      <x:c r="O80" s="42" t="n">
        <x:f>M80*N80</x:f>
        <x:v>1920</x:v>
      </x:c>
      <x:c r="P80" s="50" t="n">
        <x:v>0.05</x:v>
      </x:c>
      <x:c r="Q80" s="42" t="n">
        <x:f>O80*P80</x:f>
        <x:v>96</x:v>
      </x:c>
      <x:c r="R80" s="42" t="n">
        <x:f>O80+Q80</x:f>
        <x:v>2016</x:v>
      </x:c>
      <x:c r="S80" s="41" t="str">
        <x:v>Budget-tier quantity</x:v>
      </x:c>
      <x:c r="T80" s="41" t="n">
        <x:v>2</x:v>
      </x:c>
      <x:c r="U80" s="41" t="str">
        <x:v>No</x:v>
      </x:c>
      <x:c r="V80" s="41" t="str">
        <x:v>Bench quantity scales with gym capacity.</x:v>
      </x:c>
    </x:row>
    <x:row r="81">
      <x:c r="A81" s="41" t="str">
        <x:v>PREM-300-399</x:v>
      </x:c>
      <x:c r="B81" s="41" t="str">
        <x:v>Premier</x:v>
      </x:c>
      <x:c r="C81" s="41" t="str">
        <x:v>300K-399K</x:v>
      </x:c>
      <x:c r="D81" s="41" t="n">
        <x:v>300000</x:v>
      </x:c>
      <x:c r="E81" s="41" t="n">
        <x:v>399999</x:v>
      </x:c>
      <x:c r="F81" s="41" t="n">
        <x:v>4</x:v>
      </x:c>
      <x:c r="G81" s="41" t="str">
        <x:v>Benches</x:v>
      </x:c>
      <x:c r="H81" s="41" t="str">
        <x:v>Adjustable Crunch Bench</x:v>
      </x:c>
      <x:c r="I81" s="41" t="str">
        <x:v>benches_adjustable_crunch_bench</x:v>
      </x:c>
      <x:c r="J81" s="41" t="str">
        <x:v>TQL75</x:v>
      </x:c>
      <x:c r="K81" s="41" t="str">
        <x:v>Adjustable Abdominal Bench</x:v>
      </x:c>
      <x:c r="L81" s="41" t="str">
        <x:v>Premier</x:v>
      </x:c>
      <x:c r="M81" s="41" t="n">
        <x:v>2</x:v>
      </x:c>
      <x:c r="N81" s="42" t="n">
        <x:v>1810</x:v>
      </x:c>
      <x:c r="O81" s="42" t="n">
        <x:f>M81*N81</x:f>
        <x:v>3620</x:v>
      </x:c>
      <x:c r="P81" s="50" t="n">
        <x:v>0.05</x:v>
      </x:c>
      <x:c r="Q81" s="42" t="n">
        <x:f>O81*P81</x:f>
        <x:v>181</x:v>
      </x:c>
      <x:c r="R81" s="42" t="n">
        <x:f>O81+Q81</x:f>
        <x:v>3801</x:v>
      </x:c>
      <x:c r="S81" s="41" t="str">
        <x:v>Budget-tier quantity</x:v>
      </x:c>
      <x:c r="T81" s="41" t="n">
        <x:v>3</x:v>
      </x:c>
      <x:c r="U81" s="41" t="str">
        <x:v>No</x:v>
      </x:c>
      <x:c r="V81" s="41" t="str">
        <x:v>Bench quantity scales with gym capacity.</x:v>
      </x:c>
    </x:row>
    <x:row r="82">
      <x:c r="A82" s="41" t="str">
        <x:v>PREM-300-399</x:v>
      </x:c>
      <x:c r="B82" s="41" t="str">
        <x:v>Premier</x:v>
      </x:c>
      <x:c r="C82" s="41" t="str">
        <x:v>300K-399K</x:v>
      </x:c>
      <x:c r="D82" s="41" t="n">
        <x:v>300000</x:v>
      </x:c>
      <x:c r="E82" s="41" t="n">
        <x:v>399999</x:v>
      </x:c>
      <x:c r="F82" s="41" t="n">
        <x:v>4</x:v>
      </x:c>
      <x:c r="G82" s="41" t="str">
        <x:v>Benches</x:v>
      </x:c>
      <x:c r="H82" s="41" t="str">
        <x:v>Lower Back Bench</x:v>
      </x:c>
      <x:c r="I82" s="41" t="str">
        <x:v>benches_lower_back_bench</x:v>
      </x:c>
      <x:c r="J82" s="41" t="str">
        <x:v>TQL48</x:v>
      </x:c>
      <x:c r="K82" s="41" t="str">
        <x:v>Roman Chair (Hyper/Back Extension)</x:v>
      </x:c>
      <x:c r="L82" s="41" t="str">
        <x:v>Premier</x:v>
      </x:c>
      <x:c r="M82" s="41" t="n">
        <x:v>2</x:v>
      </x:c>
      <x:c r="N82" s="42" t="n">
        <x:v>2090</x:v>
      </x:c>
      <x:c r="O82" s="42" t="n">
        <x:f>M82*N82</x:f>
        <x:v>4180</x:v>
      </x:c>
      <x:c r="P82" s="50" t="n">
        <x:v>0.05</x:v>
      </x:c>
      <x:c r="Q82" s="42" t="n">
        <x:f>O82*P82</x:f>
        <x:v>209</x:v>
      </x:c>
      <x:c r="R82" s="42" t="n">
        <x:f>O82+Q82</x:f>
        <x:v>4389</x:v>
      </x:c>
      <x:c r="S82" s="41" t="str">
        <x:v>Budget-tier quantity</x:v>
      </x:c>
      <x:c r="T82" s="41" t="n">
        <x:v>4</x:v>
      </x:c>
      <x:c r="U82" s="41" t="str">
        <x:v>No</x:v>
      </x:c>
      <x:c r="V82" s="41" t="str">
        <x:v>Bench quantity scales with gym capacity.</x:v>
      </x:c>
    </x:row>
    <x:row r="83">
      <x:c r="A83" s="41" t="str">
        <x:v>PREM-300-399</x:v>
      </x:c>
      <x:c r="B83" s="41" t="str">
        <x:v>Premier</x:v>
      </x:c>
      <x:c r="C83" s="41" t="str">
        <x:v>300K-399K</x:v>
      </x:c>
      <x:c r="D83" s="41" t="n">
        <x:v>300000</x:v>
      </x:c>
      <x:c r="E83" s="41" t="n">
        <x:v>399999</x:v>
      </x:c>
      <x:c r="F83" s="41" t="n">
        <x:v>4</x:v>
      </x:c>
      <x:c r="G83" s="41" t="str">
        <x:v>Benches</x:v>
      </x:c>
      <x:c r="H83" s="41" t="str">
        <x:v>Olympic Flat Bench</x:v>
      </x:c>
      <x:c r="I83" s="41" t="str">
        <x:v>benches_olympic_flat_bench</x:v>
      </x:c>
      <x:c r="J83" s="41" t="str">
        <x:v>TQL63</x:v>
      </x:c>
      <x:c r="K83" s="41" t="str">
        <x:v>Flat Olympic Bench</x:v>
      </x:c>
      <x:c r="L83" s="41" t="str">
        <x:v>Premier</x:v>
      </x:c>
      <x:c r="M83" s="41" t="n">
        <x:v>1</x:v>
      </x:c>
      <x:c r="N83" s="42" t="n">
        <x:v>2430</x:v>
      </x:c>
      <x:c r="O83" s="42" t="n">
        <x:f>M83*N83</x:f>
        <x:v>2430</x:v>
      </x:c>
      <x:c r="P83" s="50" t="n">
        <x:v>0.05</x:v>
      </x:c>
      <x:c r="Q83" s="42" t="n">
        <x:f>O83*P83</x:f>
        <x:v>121.5</x:v>
      </x:c>
      <x:c r="R83" s="42" t="n">
        <x:f>O83+Q83</x:f>
        <x:v>2551.5</x:v>
      </x:c>
      <x:c r="S83" s="41" t="str">
        <x:v>Budget-tier quantity</x:v>
      </x:c>
      <x:c r="T83" s="41" t="n">
        <x:v>5</x:v>
      </x:c>
      <x:c r="U83" s="41" t="str">
        <x:v>No</x:v>
      </x:c>
      <x:c r="V83" s="41" t="str">
        <x:v>Bench quantity scales with gym capacity.</x:v>
      </x:c>
    </x:row>
    <x:row r="84">
      <x:c r="A84" s="41" t="str">
        <x:v>PREM-300-399</x:v>
      </x:c>
      <x:c r="B84" s="41" t="str">
        <x:v>Premier</x:v>
      </x:c>
      <x:c r="C84" s="41" t="str">
        <x:v>300K-399K</x:v>
      </x:c>
      <x:c r="D84" s="41" t="n">
        <x:v>300000</x:v>
      </x:c>
      <x:c r="E84" s="41" t="n">
        <x:v>399999</x:v>
      </x:c>
      <x:c r="F84" s="41" t="n">
        <x:v>4</x:v>
      </x:c>
      <x:c r="G84" s="41" t="str">
        <x:v>Benches</x:v>
      </x:c>
      <x:c r="H84" s="41" t="str">
        <x:v>Olympic Incline Bench</x:v>
      </x:c>
      <x:c r="I84" s="41" t="str">
        <x:v>benches_olympic_incline_bench</x:v>
      </x:c>
      <x:c r="J84" s="41" t="str">
        <x:v>TQL64</x:v>
      </x:c>
      <x:c r="K84" s="41" t="str">
        <x:v>Incline Olympic Bench</x:v>
      </x:c>
      <x:c r="L84" s="41" t="str">
        <x:v>Premier</x:v>
      </x:c>
      <x:c r="M84" s="41" t="n">
        <x:v>1</x:v>
      </x:c>
      <x:c r="N84" s="42" t="n">
        <x:v>2430</x:v>
      </x:c>
      <x:c r="O84" s="42" t="n">
        <x:f>M84*N84</x:f>
        <x:v>2430</x:v>
      </x:c>
      <x:c r="P84" s="50" t="n">
        <x:v>0.05</x:v>
      </x:c>
      <x:c r="Q84" s="42" t="n">
        <x:f>O84*P84</x:f>
        <x:v>121.5</x:v>
      </x:c>
      <x:c r="R84" s="42" t="n">
        <x:f>O84+Q84</x:f>
        <x:v>2551.5</x:v>
      </x:c>
      <x:c r="S84" s="41" t="str">
        <x:v>Budget-tier quantity</x:v>
      </x:c>
      <x:c r="T84" s="41" t="n">
        <x:v>6</x:v>
      </x:c>
      <x:c r="U84" s="41" t="str">
        <x:v>No</x:v>
      </x:c>
      <x:c r="V84" s="41" t="str">
        <x:v>Bench quantity scales with gym capacity.</x:v>
      </x:c>
    </x:row>
    <x:row r="85">
      <x:c r="A85" s="41" t="str">
        <x:v>PREM-300-399</x:v>
      </x:c>
      <x:c r="B85" s="41" t="str">
        <x:v>Premier</x:v>
      </x:c>
      <x:c r="C85" s="41" t="str">
        <x:v>300K-399K</x:v>
      </x:c>
      <x:c r="D85" s="41" t="n">
        <x:v>300000</x:v>
      </x:c>
      <x:c r="E85" s="41" t="n">
        <x:v>399999</x:v>
      </x:c>
      <x:c r="F85" s="41" t="n">
        <x:v>4</x:v>
      </x:c>
      <x:c r="G85" s="41" t="str">
        <x:v>Benches</x:v>
      </x:c>
      <x:c r="H85" s="41" t="str">
        <x:v>Olympic Decline Bench</x:v>
      </x:c>
      <x:c r="I85" s="41" t="str">
        <x:v>benches_olympic_decline_bench</x:v>
      </x:c>
      <x:c r="J85" s="41" t="str">
        <x:v>TQL65</x:v>
      </x:c>
      <x:c r="K85" s="41" t="str">
        <x:v>Olympic Decline Bench</x:v>
      </x:c>
      <x:c r="L85" s="41" t="str">
        <x:v>Premier</x:v>
      </x:c>
      <x:c r="M85" s="41" t="n">
        <x:v>1</x:v>
      </x:c>
      <x:c r="N85" s="42" t="n">
        <x:v>2660</x:v>
      </x:c>
      <x:c r="O85" s="42" t="n">
        <x:f>M85*N85</x:f>
        <x:v>2660</x:v>
      </x:c>
      <x:c r="P85" s="50" t="n">
        <x:v>0.05</x:v>
      </x:c>
      <x:c r="Q85" s="42" t="n">
        <x:f>O85*P85</x:f>
        <x:v>133</x:v>
      </x:c>
      <x:c r="R85" s="42" t="n">
        <x:f>O85+Q85</x:f>
        <x:v>2793</x:v>
      </x:c>
      <x:c r="S85" s="41" t="str">
        <x:v>Budget-tier quantity</x:v>
      </x:c>
      <x:c r="T85" s="41" t="n">
        <x:v>7</x:v>
      </x:c>
      <x:c r="U85" s="41" t="str">
        <x:v>No</x:v>
      </x:c>
      <x:c r="V85" s="41" t="str">
        <x:v>Bench quantity scales with gym capacity.</x:v>
      </x:c>
    </x:row>
    <x:row r="86">
      <x:c r="A86" s="41" t="str">
        <x:v>PREM-300-399</x:v>
      </x:c>
      <x:c r="B86" s="41" t="str">
        <x:v>Premier</x:v>
      </x:c>
      <x:c r="C86" s="41" t="str">
        <x:v>300K-399K</x:v>
      </x:c>
      <x:c r="D86" s="41" t="n">
        <x:v>300000</x:v>
      </x:c>
      <x:c r="E86" s="41" t="n">
        <x:v>399999</x:v>
      </x:c>
      <x:c r="F86" s="41" t="n">
        <x:v>5</x:v>
      </x:c>
      <x:c r="G86" s="41" t="str">
        <x:v>Free Weights</x:v>
      </x:c>
      <x:c r="H86" s="41" t="str">
        <x:v>Dumbbell Full Set 2.5–50kg</x:v>
      </x:c>
      <x:c r="I86" s="41" t="str">
        <x:v>free_weights_dumbbell_full_set_2_5_50kg</x:v>
      </x:c>
      <x:c r="J86" s="41" t="str">
        <x:v>PM1012-50</x:v>
      </x:c>
      <x:c r="K86" s="41" t="str">
        <x:v>Rubber Dumbbell Set - 2.5kg–50 kg</x:v>
      </x:c>
      <x:c r="L86" s="41" t="str">
        <x:v>Premier</x:v>
      </x:c>
      <x:c r="M86" s="41" t="n">
        <x:v>1</x:v>
      </x:c>
      <x:c r="N86" s="42" t="n">
        <x:v>13800</x:v>
      </x:c>
      <x:c r="O86" s="42" t="n">
        <x:f>M86*N86</x:f>
        <x:v>13800</x:v>
      </x:c>
      <x:c r="P86" s="50" t="n">
        <x:v>0.05</x:v>
      </x:c>
      <x:c r="Q86" s="42" t="n">
        <x:f>O86*P86</x:f>
        <x:v>690</x:v>
      </x:c>
      <x:c r="R86" s="42" t="n">
        <x:f>O86+Q86</x:f>
        <x:v>14490</x:v>
      </x:c>
      <x:c r="S86" s="41" t="str">
        <x:v>Brand-matched bundle</x:v>
      </x:c>
      <x:c r="T86" s="41" t="n">
        <x:v>1</x:v>
      </x:c>
      <x:c r="U86" s="41" t="str">
        <x:v>No</x:v>
      </x:c>
      <x:c r="V86" s="41" t="str">
        <x:v>Full set requires exactly 2 matching dumbbell racks.</x:v>
      </x:c>
    </x:row>
    <x:row r="87">
      <x:c r="A87" s="41" t="str">
        <x:v>PREM-300-399</x:v>
      </x:c>
      <x:c r="B87" s="41" t="str">
        <x:v>Premier</x:v>
      </x:c>
      <x:c r="C87" s="41" t="str">
        <x:v>300K-399K</x:v>
      </x:c>
      <x:c r="D87" s="41" t="n">
        <x:v>300000</x:v>
      </x:c>
      <x:c r="E87" s="41" t="n">
        <x:v>399999</x:v>
      </x:c>
      <x:c r="F87" s="41" t="n">
        <x:v>5</x:v>
      </x:c>
      <x:c r="G87" s="41" t="str">
        <x:v>Free Weights</x:v>
      </x:c>
      <x:c r="H87" s="41" t="str">
        <x:v>Dumbbell Half Set 2.5–25kg</x:v>
      </x:c>
      <x:c r="I87" s="41" t="str">
        <x:v>free_weights_dumbbell_half_set_2_5_25kg</x:v>
      </x:c>
      <x:c r="J87" s="41" t="str">
        <x:v>PM1012</x:v>
      </x:c>
      <x:c r="K87" s="41" t="str">
        <x:v>Rubber Dumbbell Set - 2.5kg–25 kg</x:v>
      </x:c>
      <x:c r="L87" s="41" t="str">
        <x:v>Premier</x:v>
      </x:c>
      <x:c r="M87" s="41" t="n">
        <x:v>1</x:v>
      </x:c>
      <x:c r="N87" s="42" t="n">
        <x:v>4000</x:v>
      </x:c>
      <x:c r="O87" s="42" t="n">
        <x:f>M87*N87</x:f>
        <x:v>4000</x:v>
      </x:c>
      <x:c r="P87" s="50" t="n">
        <x:v>0.05</x:v>
      </x:c>
      <x:c r="Q87" s="42" t="n">
        <x:f>O87*P87</x:f>
        <x:v>200</x:v>
      </x:c>
      <x:c r="R87" s="42" t="n">
        <x:f>O87+Q87</x:f>
        <x:v>4200</x:v>
      </x:c>
      <x:c r="S87" s="41" t="str">
        <x:v>Brand-matched bundle</x:v>
      </x:c>
      <x:c r="T87" s="41" t="n">
        <x:v>2</x:v>
      </x:c>
      <x:c r="U87" s="41" t="str">
        <x:v>No</x:v>
      </x:c>
      <x:c r="V87" s="41" t="str">
        <x:v>Half set requires exactly 1 additional matching rack.</x:v>
      </x:c>
    </x:row>
    <x:row r="88">
      <x:c r="A88" s="41" t="str">
        <x:v>PREM-300-399</x:v>
      </x:c>
      <x:c r="B88" s="41" t="str">
        <x:v>Premier</x:v>
      </x:c>
      <x:c r="C88" s="41" t="str">
        <x:v>300K-399K</x:v>
      </x:c>
      <x:c r="D88" s="41" t="n">
        <x:v>300000</x:v>
      </x:c>
      <x:c r="E88" s="41" t="n">
        <x:v>399999</x:v>
      </x:c>
      <x:c r="F88" s="41" t="n">
        <x:v>5</x:v>
      </x:c>
      <x:c r="G88" s="41" t="str">
        <x:v>Free Weights</x:v>
      </x:c>
      <x:c r="H88" s="41" t="str">
        <x:v>Dumbbell Rack</x:v>
      </x:c>
      <x:c r="I88" s="41" t="str">
        <x:v>free_weights_dumbbell_rack</x:v>
      </x:c>
      <x:c r="J88" s="41" t="str">
        <x:v>PM0011C</x:v>
      </x:c>
      <x:c r="K88" s="41" t="str">
        <x:v>Dumbbell Rack</x:v>
      </x:c>
      <x:c r="L88" s="41" t="str">
        <x:v>Premier</x:v>
      </x:c>
      <x:c r="M88" s="41" t="n">
        <x:v>3</x:v>
      </x:c>
      <x:c r="N88" s="42" t="n">
        <x:v>1400</x:v>
      </x:c>
      <x:c r="O88" s="42" t="n">
        <x:f>M88*N88</x:f>
        <x:v>4200</x:v>
      </x:c>
      <x:c r="P88" s="50" t="n">
        <x:v>0.05</x:v>
      </x:c>
      <x:c r="Q88" s="42" t="n">
        <x:f>O88*P88</x:f>
        <x:v>210</x:v>
      </x:c>
      <x:c r="R88" s="42" t="n">
        <x:f>O88+Q88</x:f>
        <x:v>4410</x:v>
      </x:c>
      <x:c r="S88" s="41" t="str">
        <x:v>Derived from dumbbell bundle</x:v>
      </x:c>
      <x:c r="T88" s="41" t="n">
        <x:v>3</x:v>
      </x:c>
      <x:c r="U88" s="41" t="str">
        <x:v>No</x:v>
      </x:c>
      <x:c r="V88" s="41" t="str">
        <x:v>2 racks per full set; 1 rack per half set.</x:v>
      </x:c>
    </x:row>
    <x:row r="89">
      <x:c r="A89" s="41" t="str">
        <x:v>PREM-300-399</x:v>
      </x:c>
      <x:c r="B89" s="41" t="str">
        <x:v>Premier</x:v>
      </x:c>
      <x:c r="C89" s="41" t="str">
        <x:v>300K-399K</x:v>
      </x:c>
      <x:c r="D89" s="41" t="n">
        <x:v>300000</x:v>
      </x:c>
      <x:c r="E89" s="41" t="n">
        <x:v>399999</x:v>
      </x:c>
      <x:c r="F89" s="41" t="n">
        <x:v>5</x:v>
      </x:c>
      <x:c r="G89" s="41" t="str">
        <x:v>Free Weights</x:v>
      </x:c>
      <x:c r="H89" s="41" t="str">
        <x:v>TPU Weight Plate 2.5kg</x:v>
      </x:c>
      <x:c r="I89" s="41" t="str">
        <x:v>free_weights_tpu_weight_plate_2_5kg</x:v>
      </x:c>
      <x:c r="J89" s="41" t="str">
        <x:v>PM2030C</x:v>
      </x:c>
      <x:c r="K89" s="41" t="str">
        <x:v>TPU Weight Plate - 2.5 kg</x:v>
      </x:c>
      <x:c r="L89" s="41" t="str">
        <x:v>Premier</x:v>
      </x:c>
      <x:c r="M89" s="41" t="n">
        <x:v>16</x:v>
      </x:c>
      <x:c r="N89" s="42" t="n">
        <x:v>40</x:v>
      </x:c>
      <x:c r="O89" s="42" t="n">
        <x:f>M89*N89</x:f>
        <x:v>640</x:v>
      </x:c>
      <x:c r="P89" s="50" t="n">
        <x:v>0.05</x:v>
      </x:c>
      <x:c r="Q89" s="42" t="n">
        <x:f>O89*P89</x:f>
        <x:v>32</x:v>
      </x:c>
      <x:c r="R89" s="42" t="n">
        <x:f>O89+Q89</x:f>
        <x:v>672</x:v>
      </x:c>
      <x:c r="S89" s="41" t="str">
        <x:v>Brand + premium family locked</x:v>
      </x:c>
      <x:c r="T89" s="41" t="n">
        <x:v>11</x:v>
      </x:c>
      <x:c r="U89" s="41" t="str">
        <x:v>No</x:v>
      </x:c>
      <x:c r="V89" s="41" t="str">
        <x:v>16 pcs each size. One complete family only; never mix plate families.</x:v>
      </x:c>
    </x:row>
    <x:row r="90">
      <x:c r="A90" s="41" t="str">
        <x:v>PREM-300-399</x:v>
      </x:c>
      <x:c r="B90" s="41" t="str">
        <x:v>Premier</x:v>
      </x:c>
      <x:c r="C90" s="41" t="str">
        <x:v>300K-399K</x:v>
      </x:c>
      <x:c r="D90" s="41" t="n">
        <x:v>300000</x:v>
      </x:c>
      <x:c r="E90" s="41" t="n">
        <x:v>399999</x:v>
      </x:c>
      <x:c r="F90" s="41" t="n">
        <x:v>5</x:v>
      </x:c>
      <x:c r="G90" s="41" t="str">
        <x:v>Free Weights</x:v>
      </x:c>
      <x:c r="H90" s="41" t="str">
        <x:v>TPU Weight Plate 5kg</x:v>
      </x:c>
      <x:c r="I90" s="41" t="str">
        <x:v>free_weights_tpu_weight_plate_5kg</x:v>
      </x:c>
      <x:c r="J90" s="41" t="str">
        <x:v>PM2030C-5</x:v>
      </x:c>
      <x:c r="K90" s="41" t="str">
        <x:v>TPU Weight Plate - 5 kg</x:v>
      </x:c>
      <x:c r="L90" s="41" t="str">
        <x:v>Premier</x:v>
      </x:c>
      <x:c r="M90" s="41" t="n">
        <x:v>16</x:v>
      </x:c>
      <x:c r="N90" s="42" t="n">
        <x:v>80</x:v>
      </x:c>
      <x:c r="O90" s="42" t="n">
        <x:f>M90*N90</x:f>
        <x:v>1280</x:v>
      </x:c>
      <x:c r="P90" s="50" t="n">
        <x:v>0.05</x:v>
      </x:c>
      <x:c r="Q90" s="42" t="n">
        <x:f>O90*P90</x:f>
        <x:v>64</x:v>
      </x:c>
      <x:c r="R90" s="42" t="n">
        <x:f>O90+Q90</x:f>
        <x:v>1344</x:v>
      </x:c>
      <x:c r="S90" s="41" t="str">
        <x:v>Brand + premium family locked</x:v>
      </x:c>
      <x:c r="T90" s="41" t="n">
        <x:v>12</x:v>
      </x:c>
      <x:c r="U90" s="41" t="str">
        <x:v>No</x:v>
      </x:c>
      <x:c r="V90" s="41" t="str">
        <x:v>16 pcs each size. One complete family only; never mix plate families.</x:v>
      </x:c>
    </x:row>
    <x:row r="91">
      <x:c r="A91" s="41" t="str">
        <x:v>PREM-300-399</x:v>
      </x:c>
      <x:c r="B91" s="41" t="str">
        <x:v>Premier</x:v>
      </x:c>
      <x:c r="C91" s="41" t="str">
        <x:v>300K-399K</x:v>
      </x:c>
      <x:c r="D91" s="41" t="n">
        <x:v>300000</x:v>
      </x:c>
      <x:c r="E91" s="41" t="n">
        <x:v>399999</x:v>
      </x:c>
      <x:c r="F91" s="41" t="n">
        <x:v>5</x:v>
      </x:c>
      <x:c r="G91" s="41" t="str">
        <x:v>Free Weights</x:v>
      </x:c>
      <x:c r="H91" s="41" t="str">
        <x:v>TPU Weight Plate 10kg</x:v>
      </x:c>
      <x:c r="I91" s="41" t="str">
        <x:v>free_weights_tpu_weight_plate_10kg</x:v>
      </x:c>
      <x:c r="J91" s="41" t="str">
        <x:v>PM2030C-10</x:v>
      </x:c>
      <x:c r="K91" s="41" t="str">
        <x:v>TPU Weight Plate - 10 kg</x:v>
      </x:c>
      <x:c r="L91" s="41" t="str">
        <x:v>Premier</x:v>
      </x:c>
      <x:c r="M91" s="41" t="n">
        <x:v>16</x:v>
      </x:c>
      <x:c r="N91" s="42" t="n">
        <x:v>160</x:v>
      </x:c>
      <x:c r="O91" s="42" t="n">
        <x:f>M91*N91</x:f>
        <x:v>2560</x:v>
      </x:c>
      <x:c r="P91" s="50" t="n">
        <x:v>0.05</x:v>
      </x:c>
      <x:c r="Q91" s="42" t="n">
        <x:f>O91*P91</x:f>
        <x:v>128</x:v>
      </x:c>
      <x:c r="R91" s="42" t="n">
        <x:f>O91+Q91</x:f>
        <x:v>2688</x:v>
      </x:c>
      <x:c r="S91" s="41" t="str">
        <x:v>Brand + premium family locked</x:v>
      </x:c>
      <x:c r="T91" s="41" t="n">
        <x:v>13</x:v>
      </x:c>
      <x:c r="U91" s="41" t="str">
        <x:v>No</x:v>
      </x:c>
      <x:c r="V91" s="41" t="str">
        <x:v>16 pcs each size. One complete family only; never mix plate families.</x:v>
      </x:c>
    </x:row>
    <x:row r="92">
      <x:c r="A92" s="41" t="str">
        <x:v>PREM-300-399</x:v>
      </x:c>
      <x:c r="B92" s="41" t="str">
        <x:v>Premier</x:v>
      </x:c>
      <x:c r="C92" s="41" t="str">
        <x:v>300K-399K</x:v>
      </x:c>
      <x:c r="D92" s="41" t="n">
        <x:v>300000</x:v>
      </x:c>
      <x:c r="E92" s="41" t="n">
        <x:v>399999</x:v>
      </x:c>
      <x:c r="F92" s="41" t="n">
        <x:v>5</x:v>
      </x:c>
      <x:c r="G92" s="41" t="str">
        <x:v>Free Weights</x:v>
      </x:c>
      <x:c r="H92" s="41" t="str">
        <x:v>TPU Weight Plate 20kg</x:v>
      </x:c>
      <x:c r="I92" s="41" t="str">
        <x:v>free_weights_tpu_weight_plate_20kg</x:v>
      </x:c>
      <x:c r="J92" s="41" t="str">
        <x:v>PM2030C-20</x:v>
      </x:c>
      <x:c r="K92" s="41" t="str">
        <x:v>TPU Weight Plate - 20 kg</x:v>
      </x:c>
      <x:c r="L92" s="41" t="str">
        <x:v>Premier</x:v>
      </x:c>
      <x:c r="M92" s="41" t="n">
        <x:v>16</x:v>
      </x:c>
      <x:c r="N92" s="42" t="n">
        <x:v>320</x:v>
      </x:c>
      <x:c r="O92" s="42" t="n">
        <x:f>M92*N92</x:f>
        <x:v>5120</x:v>
      </x:c>
      <x:c r="P92" s="50" t="n">
        <x:v>0.05</x:v>
      </x:c>
      <x:c r="Q92" s="42" t="n">
        <x:f>O92*P92</x:f>
        <x:v>256</x:v>
      </x:c>
      <x:c r="R92" s="42" t="n">
        <x:f>O92+Q92</x:f>
        <x:v>5376</x:v>
      </x:c>
      <x:c r="S92" s="41" t="str">
        <x:v>Brand + premium family locked</x:v>
      </x:c>
      <x:c r="T92" s="41" t="n">
        <x:v>14</x:v>
      </x:c>
      <x:c r="U92" s="41" t="str">
        <x:v>No</x:v>
      </x:c>
      <x:c r="V92" s="41" t="str">
        <x:v>16 pcs each size. One complete family only; never mix plate families.</x:v>
      </x:c>
    </x:row>
    <x:row r="93">
      <x:c r="A93" s="41" t="str">
        <x:v>PREM-300-399</x:v>
      </x:c>
      <x:c r="B93" s="41" t="str">
        <x:v>Premier</x:v>
      </x:c>
      <x:c r="C93" s="41" t="str">
        <x:v>300K-399K</x:v>
      </x:c>
      <x:c r="D93" s="41" t="n">
        <x:v>300000</x:v>
      </x:c>
      <x:c r="E93" s="41" t="n">
        <x:v>399999</x:v>
      </x:c>
      <x:c r="F93" s="41" t="n">
        <x:v>5</x:v>
      </x:c>
      <x:c r="G93" s="41" t="str">
        <x:v>Free Weights</x:v>
      </x:c>
      <x:c r="H93" s="41" t="str">
        <x:v>Barbell Set</x:v>
      </x:c>
      <x:c r="I93" s="41" t="str">
        <x:v>free_weights_barbell_set</x:v>
      </x:c>
      <x:c r="J93" s="41" t="str">
        <x:v>PM3015-250</x:v>
      </x:c>
      <x:c r="K93" s="41" t="str">
        <x:v>Rubber Coated Barbell Set - (250 kg)</x:v>
      </x:c>
      <x:c r="L93" s="41" t="str">
        <x:v>Premier</x:v>
      </x:c>
      <x:c r="M93" s="41" t="n">
        <x:v>1</x:v>
      </x:c>
      <x:c r="N93" s="42" t="n">
        <x:v>3750</x:v>
      </x:c>
      <x:c r="O93" s="42" t="n">
        <x:f>M93*N93</x:f>
        <x:v>3750</x:v>
      </x:c>
      <x:c r="P93" s="50" t="n">
        <x:v>0.05</x:v>
      </x:c>
      <x:c r="Q93" s="42" t="n">
        <x:f>O93*P93</x:f>
        <x:v>187.5</x:v>
      </x:c>
      <x:c r="R93" s="42" t="n">
        <x:f>O93+Q93</x:f>
        <x:v>3937.5</x:v>
      </x:c>
      <x:c r="S93" s="41" t="str">
        <x:v>Complete set</x:v>
      </x:c>
      <x:c r="T93" s="41" t="n">
        <x:v>20</x:v>
      </x:c>
      <x:c r="U93" s="41" t="str">
        <x:v>No</x:v>
      </x:c>
      <x:c r="V93" s="41" t="str">
        <x:v>Complete barbell set; do not generate individual bars.</x:v>
      </x:c>
    </x:row>
    <x:row r="94">
      <x:c r="A94" s="41" t="str">
        <x:v>PREM-300-399</x:v>
      </x:c>
      <x:c r="B94" s="41" t="str">
        <x:v>Premier</x:v>
      </x:c>
      <x:c r="C94" s="41" t="str">
        <x:v>300K-399K</x:v>
      </x:c>
      <x:c r="D94" s="41" t="n">
        <x:v>300000</x:v>
      </x:c>
      <x:c r="E94" s="41" t="n">
        <x:v>399999</x:v>
      </x:c>
      <x:c r="F94" s="41" t="n">
        <x:v>5</x:v>
      </x:c>
      <x:c r="G94" s="41" t="str">
        <x:v>Free Weights</x:v>
      </x:c>
      <x:c r="H94" s="41" t="str">
        <x:v>Barbell Rack</x:v>
      </x:c>
      <x:c r="I94" s="41" t="str">
        <x:v>free_weights_barbell_rack</x:v>
      </x:c>
      <x:c r="J94" s="41" t="str">
        <x:v>PM0041</x:v>
      </x:c>
      <x:c r="K94" s="41" t="str">
        <x:v>Barbell Rack</x:v>
      </x:c>
      <x:c r="L94" s="41" t="str">
        <x:v>Premier</x:v>
      </x:c>
      <x:c r="M94" s="41" t="n">
        <x:v>1</x:v>
      </x:c>
      <x:c r="N94" s="42" t="n">
        <x:v>1200</x:v>
      </x:c>
      <x:c r="O94" s="42" t="n">
        <x:f>M94*N94</x:f>
        <x:v>1200</x:v>
      </x:c>
      <x:c r="P94" s="50" t="n">
        <x:v>0.05</x:v>
      </x:c>
      <x:c r="Q94" s="42" t="n">
        <x:f>O94*P94</x:f>
        <x:v>60</x:v>
      </x:c>
      <x:c r="R94" s="42" t="n">
        <x:f>O94+Q94</x:f>
        <x:v>1260</x:v>
      </x:c>
      <x:c r="S94" s="41" t="str">
        <x:v>1 matching rack per set</x:v>
      </x:c>
      <x:c r="T94" s="41" t="n">
        <x:v>21</x:v>
      </x:c>
      <x:c r="U94" s="41" t="str">
        <x:v>No</x:v>
      </x:c>
      <x:c r="V94" s="41" t="str">
        <x:v>Rack brand follows the gym brand; 1 rack per barbell set.</x:v>
      </x:c>
    </x:row>
    <x:row r="95">
      <x:c r="A95" s="41" t="str">
        <x:v>PREM-400-500</x:v>
      </x:c>
      <x:c r="B95" s="41" t="str">
        <x:v>Premier</x:v>
      </x:c>
      <x:c r="C95" s="41" t="str">
        <x:v>400K-500K</x:v>
      </x:c>
      <x:c r="D95" s="41" t="n">
        <x:v>400000</x:v>
      </x:c>
      <x:c r="E95" s="41" t="n">
        <x:v>500000</x:v>
      </x:c>
      <x:c r="F95" s="41" t="n">
        <x:v>1</x:v>
      </x:c>
      <x:c r="G95" s="41" t="str">
        <x:v>Cardio</x:v>
      </x:c>
      <x:c r="H95" s="41" t="str">
        <x:v>Treadmill</x:v>
      </x:c>
      <x:c r="I95" s="41" t="str">
        <x:v>cardio_treadmill</x:v>
      </x:c>
      <x:c r="J95" s="41" t="str">
        <x:v>6835TA-LED</x:v>
      </x:c>
      <x:c r="K95" s="41" t="str">
        <x:v>Treadmill LED Screen</x:v>
      </x:c>
      <x:c r="L95" s="41" t="str">
        <x:v>Premier</x:v>
      </x:c>
      <x:c r="M95" s="41" t="n">
        <x:v>8</x:v>
      </x:c>
      <x:c r="N95" s="42" t="n">
        <x:v>5850</x:v>
      </x:c>
      <x:c r="O95" s="42" t="n">
        <x:f>M95*N95</x:f>
        <x:v>46800</x:v>
      </x:c>
      <x:c r="P95" s="50" t="n">
        <x:v>0.05</x:v>
      </x:c>
      <x:c r="Q95" s="42" t="n">
        <x:f>O95*P95</x:f>
        <x:v>2340</x:v>
      </x:c>
      <x:c r="R95" s="42" t="n">
        <x:f>O95+Q95</x:f>
        <x:v>49140</x:v>
      </x:c>
      <x:c r="S95" s="41" t="str">
        <x:v>Fixed role; quantity scales by budget</x:v>
      </x:c>
      <x:c r="T95" s="41" t="n">
        <x:v>1</x:v>
      </x:c>
      <x:c r="U95" s="41" t="str">
        <x:v>No</x:v>
      </x:c>
      <x:c r="V95" s="41" t="str"/>
    </x:row>
    <x:row r="96">
      <x:c r="A96" s="41" t="str">
        <x:v>PREM-400-500</x:v>
      </x:c>
      <x:c r="B96" s="41" t="str">
        <x:v>Premier</x:v>
      </x:c>
      <x:c r="C96" s="41" t="str">
        <x:v>400K-500K</x:v>
      </x:c>
      <x:c r="D96" s="41" t="n">
        <x:v>400000</x:v>
      </x:c>
      <x:c r="E96" s="41" t="n">
        <x:v>500000</x:v>
      </x:c>
      <x:c r="F96" s="41" t="n">
        <x:v>1</x:v>
      </x:c>
      <x:c r="G96" s="41" t="str">
        <x:v>Cardio</x:v>
      </x:c>
      <x:c r="H96" s="41" t="str">
        <x:v>Cross Trainer</x:v>
      </x:c>
      <x:c r="I96" s="41" t="str">
        <x:v>cardio_cross_trainer</x:v>
      </x:c>
      <x:c r="J96" s="41" t="str">
        <x:v>E38001</x:v>
      </x:c>
      <x:c r="K96" s="41" t="str">
        <x:v>Elliptical Bike Commercial</x:v>
      </x:c>
      <x:c r="L96" s="41" t="str">
        <x:v>Premier</x:v>
      </x:c>
      <x:c r="M96" s="41" t="n">
        <x:v>4</x:v>
      </x:c>
      <x:c r="N96" s="42" t="n">
        <x:v>7500</x:v>
      </x:c>
      <x:c r="O96" s="42" t="n">
        <x:f>M96*N96</x:f>
        <x:v>30000</x:v>
      </x:c>
      <x:c r="P96" s="50" t="n">
        <x:v>0.05</x:v>
      </x:c>
      <x:c r="Q96" s="42" t="n">
        <x:f>O96*P96</x:f>
        <x:v>1500</x:v>
      </x:c>
      <x:c r="R96" s="42" t="n">
        <x:f>O96+Q96</x:f>
        <x:v>31500</x:v>
      </x:c>
      <x:c r="S96" s="41" t="str">
        <x:v>Fixed role; quantity scales by budget</x:v>
      </x:c>
      <x:c r="T96" s="41" t="n">
        <x:v>2</x:v>
      </x:c>
      <x:c r="U96" s="41" t="str">
        <x:v>No</x:v>
      </x:c>
      <x:c r="V96" s="41" t="str"/>
    </x:row>
    <x:row r="97">
      <x:c r="A97" s="41" t="str">
        <x:v>PREM-400-500</x:v>
      </x:c>
      <x:c r="B97" s="41" t="str">
        <x:v>Premier</x:v>
      </x:c>
      <x:c r="C97" s="41" t="str">
        <x:v>400K-500K</x:v>
      </x:c>
      <x:c r="D97" s="41" t="n">
        <x:v>400000</x:v>
      </x:c>
      <x:c r="E97" s="41" t="n">
        <x:v>500000</x:v>
      </x:c>
      <x:c r="F97" s="41" t="n">
        <x:v>1</x:v>
      </x:c>
      <x:c r="G97" s="41" t="str">
        <x:v>Cardio</x:v>
      </x:c>
      <x:c r="H97" s="41" t="str">
        <x:v>Upright Bike</x:v>
      </x:c>
      <x:c r="I97" s="41" t="str">
        <x:v>cardio_upright_bike</x:v>
      </x:c>
      <x:c r="J97" s="41" t="str">
        <x:v>B12101</x:v>
      </x:c>
      <x:c r="K97" s="41" t="str">
        <x:v>Upright Bike Commercial</x:v>
      </x:c>
      <x:c r="L97" s="41" t="str">
        <x:v>Premier</x:v>
      </x:c>
      <x:c r="M97" s="41" t="n">
        <x:v>2</x:v>
      </x:c>
      <x:c r="N97" s="42" t="n">
        <x:v>4750</x:v>
      </x:c>
      <x:c r="O97" s="42" t="n">
        <x:f>M97*N97</x:f>
        <x:v>9500</x:v>
      </x:c>
      <x:c r="P97" s="50" t="n">
        <x:v>0.05</x:v>
      </x:c>
      <x:c r="Q97" s="42" t="n">
        <x:f>O97*P97</x:f>
        <x:v>475</x:v>
      </x:c>
      <x:c r="R97" s="42" t="n">
        <x:f>O97+Q97</x:f>
        <x:v>9975</x:v>
      </x:c>
      <x:c r="S97" s="41" t="str">
        <x:v>Fixed role; quantity scales by budget</x:v>
      </x:c>
      <x:c r="T97" s="41" t="n">
        <x:v>3</x:v>
      </x:c>
      <x:c r="U97" s="41" t="str">
        <x:v>No</x:v>
      </x:c>
      <x:c r="V97" s="41" t="str"/>
    </x:row>
    <x:row r="98">
      <x:c r="A98" s="41" t="str">
        <x:v>PREM-400-500</x:v>
      </x:c>
      <x:c r="B98" s="41" t="str">
        <x:v>Premier</x:v>
      </x:c>
      <x:c r="C98" s="41" t="str">
        <x:v>400K-500K</x:v>
      </x:c>
      <x:c r="D98" s="41" t="n">
        <x:v>400000</x:v>
      </x:c>
      <x:c r="E98" s="41" t="n">
        <x:v>500000</x:v>
      </x:c>
      <x:c r="F98" s="41" t="n">
        <x:v>1</x:v>
      </x:c>
      <x:c r="G98" s="41" t="str">
        <x:v>Cardio</x:v>
      </x:c>
      <x:c r="H98" s="41" t="str">
        <x:v>Recumbent Bike</x:v>
      </x:c>
      <x:c r="I98" s="41" t="str">
        <x:v>cardio_recumbent_bike</x:v>
      </x:c>
      <x:c r="J98" s="41" t="str">
        <x:v>R12001</x:v>
      </x:c>
      <x:c r="K98" s="41" t="str">
        <x:v>Recumbent Bike Commercial</x:v>
      </x:c>
      <x:c r="L98" s="41" t="str">
        <x:v>Premier</x:v>
      </x:c>
      <x:c r="M98" s="41" t="n">
        <x:v>2</x:v>
      </x:c>
      <x:c r="N98" s="42" t="n">
        <x:v>5500</x:v>
      </x:c>
      <x:c r="O98" s="42" t="n">
        <x:f>M98*N98</x:f>
        <x:v>11000</x:v>
      </x:c>
      <x:c r="P98" s="50" t="n">
        <x:v>0.05</x:v>
      </x:c>
      <x:c r="Q98" s="42" t="n">
        <x:f>O98*P98</x:f>
        <x:v>550</x:v>
      </x:c>
      <x:c r="R98" s="42" t="n">
        <x:f>O98+Q98</x:f>
        <x:v>11550</x:v>
      </x:c>
      <x:c r="S98" s="41" t="str">
        <x:v>Fixed role; quantity scales by budget</x:v>
      </x:c>
      <x:c r="T98" s="41" t="n">
        <x:v>4</x:v>
      </x:c>
      <x:c r="U98" s="41" t="str">
        <x:v>No</x:v>
      </x:c>
      <x:c r="V98" s="41" t="str"/>
    </x:row>
    <x:row r="99">
      <x:c r="A99" s="41" t="str">
        <x:v>PREM-400-500</x:v>
      </x:c>
      <x:c r="B99" s="41" t="str">
        <x:v>Premier</x:v>
      </x:c>
      <x:c r="C99" s="41" t="str">
        <x:v>400K-500K</x:v>
      </x:c>
      <x:c r="D99" s="41" t="n">
        <x:v>400000</x:v>
      </x:c>
      <x:c r="E99" s="41" t="n">
        <x:v>500000</x:v>
      </x:c>
      <x:c r="F99" s="41" t="n">
        <x:v>1</x:v>
      </x:c>
      <x:c r="G99" s="41" t="str">
        <x:v>Cardio</x:v>
      </x:c>
      <x:c r="H99" s="41" t="str">
        <x:v>Spinning Bike</x:v>
      </x:c>
      <x:c r="I99" s="41" t="str">
        <x:v>cardio_spinning_bike</x:v>
      </x:c>
      <x:c r="J99" s="41" t="str">
        <x:v>CD-006</x:v>
      </x:c>
      <x:c r="K99" s="41" t="str">
        <x:v>Spinning Bike</x:v>
      </x:c>
      <x:c r="L99" s="41" t="str">
        <x:v>Burnsport</x:v>
      </x:c>
      <x:c r="M99" s="41" t="n">
        <x:v>6</x:v>
      </x:c>
      <x:c r="N99" s="42" t="n">
        <x:v>3500</x:v>
      </x:c>
      <x:c r="O99" s="42" t="n">
        <x:f>M99*N99</x:f>
        <x:v>21000</x:v>
      </x:c>
      <x:c r="P99" s="50" t="n">
        <x:v>0.05</x:v>
      </x:c>
      <x:c r="Q99" s="42" t="n">
        <x:f>O99*P99</x:f>
        <x:v>1050</x:v>
      </x:c>
      <x:c r="R99" s="42" t="n">
        <x:f>O99+Q99</x:f>
        <x:v>22050</x:v>
      </x:c>
      <x:c r="S99" s="41" t="str">
        <x:v>Fixed role; quantity scales by budget</x:v>
      </x:c>
      <x:c r="T99" s="41" t="n">
        <x:v>5</x:v>
      </x:c>
      <x:c r="U99" s="41" t="str">
        <x:v>Yes</x:v>
      </x:c>
      <x:c r="V99" s="41" t="str">
        <x:v>Premier commercial spinning bike is not present in the uploaded source; Burnsport CD-006 is the current fallback.</x:v>
      </x:c>
    </x:row>
    <x:row r="100">
      <x:c r="A100" s="41" t="str">
        <x:v>PREM-400-500</x:v>
      </x:c>
      <x:c r="B100" s="41" t="str">
        <x:v>Premier</x:v>
      </x:c>
      <x:c r="C100" s="41" t="str">
        <x:v>400K-500K</x:v>
      </x:c>
      <x:c r="D100" s="41" t="n">
        <x:v>400000</x:v>
      </x:c>
      <x:c r="E100" s="41" t="n">
        <x:v>500000</x:v>
      </x:c>
      <x:c r="F100" s="41" t="n">
        <x:v>1</x:v>
      </x:c>
      <x:c r="G100" s="41" t="str">
        <x:v>Cardio</x:v>
      </x:c>
      <x:c r="H100" s="41" t="str">
        <x:v>Stair Master</x:v>
      </x:c>
      <x:c r="I100" s="41" t="str">
        <x:v>cardio_stair_master</x:v>
      </x:c>
      <x:c r="J100" s="41" t="str">
        <x:v>PR159</x:v>
      </x:c>
      <x:c r="K100" s="41" t="str">
        <x:v>Stair Master</x:v>
      </x:c>
      <x:c r="L100" s="41" t="str">
        <x:v>Premier</x:v>
      </x:c>
      <x:c r="M100" s="41" t="n">
        <x:v>2</x:v>
      </x:c>
      <x:c r="N100" s="42" t="n">
        <x:v>9500</x:v>
      </x:c>
      <x:c r="O100" s="42" t="n">
        <x:f>M100*N100</x:f>
        <x:v>19000</x:v>
      </x:c>
      <x:c r="P100" s="50" t="n">
        <x:v>0.05</x:v>
      </x:c>
      <x:c r="Q100" s="42" t="n">
        <x:f>O100*P100</x:f>
        <x:v>950</x:v>
      </x:c>
      <x:c r="R100" s="42" t="n">
        <x:f>O100+Q100</x:f>
        <x:v>19950</x:v>
      </x:c>
      <x:c r="S100" s="41" t="str">
        <x:v>Fixed role; quantity scales by budget</x:v>
      </x:c>
      <x:c r="T100" s="41" t="n">
        <x:v>6</x:v>
      </x:c>
      <x:c r="U100" s="41" t="str">
        <x:v>No</x:v>
      </x:c>
      <x:c r="V100" s="41" t="str"/>
    </x:row>
    <x:row r="101">
      <x:c r="A101" s="41" t="str">
        <x:v>PREM-400-500</x:v>
      </x:c>
      <x:c r="B101" s="41" t="str">
        <x:v>Premier</x:v>
      </x:c>
      <x:c r="C101" s="41" t="str">
        <x:v>400K-500K</x:v>
      </x:c>
      <x:c r="D101" s="41" t="n">
        <x:v>400000</x:v>
      </x:c>
      <x:c r="E101" s="41" t="n">
        <x:v>500000</x:v>
      </x:c>
      <x:c r="F101" s="41" t="n">
        <x:v>1</x:v>
      </x:c>
      <x:c r="G101" s="41" t="str">
        <x:v>Cardio</x:v>
      </x:c>
      <x:c r="H101" s="41" t="str">
        <x:v>Rower</x:v>
      </x:c>
      <x:c r="I101" s="41" t="str">
        <x:v>cardio_rower</x:v>
      </x:c>
      <x:c r="J101" s="41" t="str">
        <x:v>PR536</x:v>
      </x:c>
      <x:c r="K101" s="41" t="str">
        <x:v>Rower</x:v>
      </x:c>
      <x:c r="L101" s="41" t="str">
        <x:v>Premier</x:v>
      </x:c>
      <x:c r="M101" s="41" t="n">
        <x:v>2</x:v>
      </x:c>
      <x:c r="N101" s="42" t="n">
        <x:v>2750</x:v>
      </x:c>
      <x:c r="O101" s="42" t="n">
        <x:f>M101*N101</x:f>
        <x:v>5500</x:v>
      </x:c>
      <x:c r="P101" s="50" t="n">
        <x:v>0.05</x:v>
      </x:c>
      <x:c r="Q101" s="42" t="n">
        <x:f>O101*P101</x:f>
        <x:v>275</x:v>
      </x:c>
      <x:c r="R101" s="42" t="n">
        <x:f>O101+Q101</x:f>
        <x:v>5775</x:v>
      </x:c>
      <x:c r="S101" s="41" t="str">
        <x:v>Fixed role; quantity scales by budget</x:v>
      </x:c>
      <x:c r="T101" s="41" t="n">
        <x:v>7</x:v>
      </x:c>
      <x:c r="U101" s="41" t="str">
        <x:v>No</x:v>
      </x:c>
      <x:c r="V101" s="41" t="str"/>
    </x:row>
    <x:row r="102">
      <x:c r="A102" s="41" t="str">
        <x:v>PREM-400-500</x:v>
      </x:c>
      <x:c r="B102" s="41" t="str">
        <x:v>Premier</x:v>
      </x:c>
      <x:c r="C102" s="41" t="str">
        <x:v>400K-500K</x:v>
      </x:c>
      <x:c r="D102" s="41" t="n">
        <x:v>400000</x:v>
      </x:c>
      <x:c r="E102" s="41" t="n">
        <x:v>500000</x:v>
      </x:c>
      <x:c r="F102" s="41" t="n">
        <x:v>1</x:v>
      </x:c>
      <x:c r="G102" s="41" t="str">
        <x:v>Cardio</x:v>
      </x:c>
      <x:c r="H102" s="41" t="str">
        <x:v>SkiErg</x:v>
      </x:c>
      <x:c r="I102" s="41" t="str">
        <x:v>cardio_skierg</x:v>
      </x:c>
      <x:c r="J102" s="41" t="str">
        <x:v>PR432</x:v>
      </x:c>
      <x:c r="K102" s="41" t="str">
        <x:v>Skeirg</x:v>
      </x:c>
      <x:c r="L102" s="41" t="str">
        <x:v>Premier</x:v>
      </x:c>
      <x:c r="M102" s="41" t="n">
        <x:v>2</x:v>
      </x:c>
      <x:c r="N102" s="42" t="n">
        <x:v>2850</x:v>
      </x:c>
      <x:c r="O102" s="42" t="n">
        <x:f>M102*N102</x:f>
        <x:v>5700</x:v>
      </x:c>
      <x:c r="P102" s="50" t="n">
        <x:v>0.05</x:v>
      </x:c>
      <x:c r="Q102" s="42" t="n">
        <x:f>O102*P102</x:f>
        <x:v>285</x:v>
      </x:c>
      <x:c r="R102" s="42" t="n">
        <x:f>O102+Q102</x:f>
        <x:v>5985</x:v>
      </x:c>
      <x:c r="S102" s="41" t="str">
        <x:v>Fixed role; quantity scales by budget</x:v>
      </x:c>
      <x:c r="T102" s="41" t="n">
        <x:v>8</x:v>
      </x:c>
      <x:c r="U102" s="41" t="str">
        <x:v>No</x:v>
      </x:c>
      <x:c r="V102" s="41" t="str"/>
    </x:row>
    <x:row r="103">
      <x:c r="A103" s="41" t="str">
        <x:v>PREM-400-500</x:v>
      </x:c>
      <x:c r="B103" s="41" t="str">
        <x:v>Premier</x:v>
      </x:c>
      <x:c r="C103" s="41" t="str">
        <x:v>400K-500K</x:v>
      </x:c>
      <x:c r="D103" s="41" t="n">
        <x:v>400000</x:v>
      </x:c>
      <x:c r="E103" s="41" t="n">
        <x:v>500000</x:v>
      </x:c>
      <x:c r="F103" s="41" t="n">
        <x:v>2</x:v>
      </x:c>
      <x:c r="G103" s="41" t="str">
        <x:v>Functional / Multi</x:v>
      </x:c>
      <x:c r="H103" s="41" t="str">
        <x:v>Smith Machine</x:v>
      </x:c>
      <x:c r="I103" s="41" t="str">
        <x:v>functional_multi_smith_machine</x:v>
      </x:c>
      <x:c r="J103" s="41" t="str">
        <x:v>APL01</x:v>
      </x:c>
      <x:c r="K103" s="41" t="str">
        <x:v>Smith Machine</x:v>
      </x:c>
      <x:c r="L103" s="41" t="str">
        <x:v>Premier</x:v>
      </x:c>
      <x:c r="M103" s="41" t="n">
        <x:v>1</x:v>
      </x:c>
      <x:c r="N103" s="42" t="n">
        <x:v>6560</x:v>
      </x:c>
      <x:c r="O103" s="42" t="n">
        <x:f>M103*N103</x:f>
        <x:v>6560</x:v>
      </x:c>
      <x:c r="P103" s="50" t="n">
        <x:v>0.05</x:v>
      </x:c>
      <x:c r="Q103" s="42" t="n">
        <x:f>O103*P103</x:f>
        <x:v>328</x:v>
      </x:c>
      <x:c r="R103" s="42" t="n">
        <x:f>O103+Q103</x:f>
        <x:v>6888</x:v>
      </x:c>
      <x:c r="S103" s="41" t="str">
        <x:v>Mandatory exactly 1</x:v>
      </x:c>
      <x:c r="T103" s="41" t="n">
        <x:v>1</x:v>
      </x:c>
      <x:c r="U103" s="41" t="str">
        <x:v>No</x:v>
      </x:c>
      <x:c r="V103" s="41" t="str">
        <x:v>Smith is mandatory in every full-gym profile.</x:v>
      </x:c>
    </x:row>
    <x:row r="104">
      <x:c r="A104" s="41" t="str">
        <x:v>PREM-400-500</x:v>
      </x:c>
      <x:c r="B104" s="41" t="str">
        <x:v>Premier</x:v>
      </x:c>
      <x:c r="C104" s="41" t="str">
        <x:v>400K-500K</x:v>
      </x:c>
      <x:c r="D104" s="41" t="n">
        <x:v>400000</x:v>
      </x:c>
      <x:c r="E104" s="41" t="n">
        <x:v>500000</x:v>
      </x:c>
      <x:c r="F104" s="41" t="n">
        <x:v>2</x:v>
      </x:c>
      <x:c r="G104" s="41" t="str">
        <x:v>Functional / Multi</x:v>
      </x:c>
      <x:c r="H104" s="41" t="str">
        <x:v>Functional Trainer</x:v>
      </x:c>
      <x:c r="I104" s="41" t="str">
        <x:v>functional_multi_functional_trainer</x:v>
      </x:c>
      <x:c r="J104" s="41" t="str">
        <x:v>APN37</x:v>
      </x:c>
      <x:c r="K104" s="41" t="str">
        <x:v>Functional Trainer &amp; Accessories</x:v>
      </x:c>
      <x:c r="L104" s="41" t="str">
        <x:v>Premier</x:v>
      </x:c>
      <x:c r="M104" s="41" t="n">
        <x:v>1</x:v>
      </x:c>
      <x:c r="N104" s="42" t="n">
        <x:v>10070</x:v>
      </x:c>
      <x:c r="O104" s="42" t="n">
        <x:f>M104*N104</x:f>
        <x:v>10070</x:v>
      </x:c>
      <x:c r="P104" s="50" t="n">
        <x:v>0.05</x:v>
      </x:c>
      <x:c r="Q104" s="42" t="n">
        <x:f>O104*P104</x:f>
        <x:v>503.5</x:v>
      </x:c>
      <x:c r="R104" s="42" t="n">
        <x:f>O104+Q104</x:f>
        <x:v>10573.5</x:v>
      </x:c>
      <x:c r="S104" s="41" t="str">
        <x:v>Mandatory exactly 1</x:v>
      </x:c>
      <x:c r="T104" s="41" t="n">
        <x:v>2</x:v>
      </x:c>
      <x:c r="U104" s="41" t="str">
        <x:v>No</x:v>
      </x:c>
      <x:c r="V104" s="41" t="str">
        <x:v>Functional Trainer is exactly 1.</x:v>
      </x:c>
    </x:row>
    <x:row r="105">
      <x:c r="A105" s="41" t="str">
        <x:v>PREM-400-500</x:v>
      </x:c>
      <x:c r="B105" s="41" t="str">
        <x:v>Premier</x:v>
      </x:c>
      <x:c r="C105" s="41" t="str">
        <x:v>400K-500K</x:v>
      </x:c>
      <x:c r="D105" s="41" t="n">
        <x:v>400000</x:v>
      </x:c>
      <x:c r="E105" s="41" t="n">
        <x:v>500000</x:v>
      </x:c>
      <x:c r="F105" s="41" t="n">
        <x:v>2</x:v>
      </x:c>
      <x:c r="G105" s="41" t="str">
        <x:v>Functional / Multi</x:v>
      </x:c>
      <x:c r="H105" s="41" t="str">
        <x:v>8 Station</x:v>
      </x:c>
      <x:c r="I105" s="41" t="str">
        <x:v>functional_multi_8_station</x:v>
      </x:c>
      <x:c r="J105" s="41" t="str">
        <x:v>APN40</x:v>
      </x:c>
      <x:c r="K105" s="41" t="str">
        <x:v>8 Station</x:v>
      </x:c>
      <x:c r="L105" s="41" t="str">
        <x:v>Premier</x:v>
      </x:c>
      <x:c r="M105" s="41" t="n">
        <x:v>1</x:v>
      </x:c>
      <x:c r="N105" s="42" t="n">
        <x:v>37330</x:v>
      </x:c>
      <x:c r="O105" s="42" t="n">
        <x:f>M105*N105</x:f>
        <x:v>37330</x:v>
      </x:c>
      <x:c r="P105" s="50" t="n">
        <x:v>0.05</x:v>
      </x:c>
      <x:c r="Q105" s="42" t="n">
        <x:f>O105*P105</x:f>
        <x:v>1866.5</x:v>
      </x:c>
      <x:c r="R105" s="42" t="n">
        <x:f>O105+Q105</x:f>
        <x:v>39196.5</x:v>
      </x:c>
      <x:c r="S105" s="41" t="str">
        <x:v>Budget-tier replacement</x:v>
      </x:c>
      <x:c r="T105" s="41" t="n">
        <x:v>3</x:v>
      </x:c>
      <x:c r="U105" s="41" t="str">
        <x:v>No</x:v>
      </x:c>
      <x:c r="V105" s="41" t="str">
        <x:v>Only 4 / 5 / 8 station are allowed; never combine station sizes.</x:v>
      </x:c>
    </x:row>
    <x:row r="106">
      <x:c r="A106" s="41" t="str">
        <x:v>PREM-400-500</x:v>
      </x:c>
      <x:c r="B106" s="41" t="str">
        <x:v>Premier</x:v>
      </x:c>
      <x:c r="C106" s="41" t="str">
        <x:v>400K-500K</x:v>
      </x:c>
      <x:c r="D106" s="41" t="n">
        <x:v>400000</x:v>
      </x:c>
      <x:c r="E106" s="41" t="n">
        <x:v>500000</x:v>
      </x:c>
      <x:c r="F106" s="41" t="n">
        <x:v>3</x:v>
      </x:c>
      <x:c r="G106" s="41" t="str">
        <x:v>Strength</x:v>
      </x:c>
      <x:c r="H106" s="41" t="str">
        <x:v>Chest</x:v>
      </x:c>
      <x:c r="I106" s="41" t="str">
        <x:v>strength_chest</x:v>
      </x:c>
      <x:c r="J106" s="41" t="str">
        <x:v>APN35</x:v>
      </x:c>
      <x:c r="K106" s="41" t="str">
        <x:v>Chest Press</x:v>
      </x:c>
      <x:c r="L106" s="41" t="str">
        <x:v>Premier</x:v>
      </x:c>
      <x:c r="M106" s="41" t="n">
        <x:v>1</x:v>
      </x:c>
      <x:c r="N106" s="42" t="n">
        <x:v>6470</x:v>
      </x:c>
      <x:c r="O106" s="42" t="n">
        <x:f>M106*N106</x:f>
        <x:v>6470</x:v>
      </x:c>
      <x:c r="P106" s="50" t="n">
        <x:v>0.05</x:v>
      </x:c>
      <x:c r="Q106" s="42" t="n">
        <x:f>O106*P106</x:f>
        <x:v>323.5</x:v>
      </x:c>
      <x:c r="R106" s="42" t="n">
        <x:f>O106+Q106</x:f>
        <x:v>6793.5</x:v>
      </x:c>
      <x:c r="S106" s="41" t="str">
        <x:v>Series-substitutable default (APN/APL reference)</x:v>
      </x:c>
      <x:c r="T106" s="41" t="n">
        <x:v>1</x:v>
      </x:c>
      <x:c r="U106" s="41" t="str">
        <x:v>No</x:v>
      </x:c>
      <x:c r="V106" s="41" t="str">
        <x:v>Keep the movement/area; if user selects another approved Premier series, substitute the exact product from that series.</x:v>
      </x:c>
    </x:row>
    <x:row r="107">
      <x:c r="A107" s="41" t="str">
        <x:v>PREM-400-500</x:v>
      </x:c>
      <x:c r="B107" s="41" t="str">
        <x:v>Premier</x:v>
      </x:c>
      <x:c r="C107" s="41" t="str">
        <x:v>400K-500K</x:v>
      </x:c>
      <x:c r="D107" s="41" t="n">
        <x:v>400000</x:v>
      </x:c>
      <x:c r="E107" s="41" t="n">
        <x:v>500000</x:v>
      </x:c>
      <x:c r="F107" s="41" t="n">
        <x:v>3</x:v>
      </x:c>
      <x:c r="G107" s="41" t="str">
        <x:v>Strength</x:v>
      </x:c>
      <x:c r="H107" s="41" t="str">
        <x:v>Chest</x:v>
      </x:c>
      <x:c r="I107" s="41" t="str">
        <x:v>strength_chest</x:v>
      </x:c>
      <x:c r="J107" s="41" t="str">
        <x:v>APL06</x:v>
      </x:c>
      <x:c r="K107" s="41" t="str">
        <x:v>Incline Chest Press</x:v>
      </x:c>
      <x:c r="L107" s="41" t="str">
        <x:v>Premier</x:v>
      </x:c>
      <x:c r="M107" s="41" t="n">
        <x:v>1</x:v>
      </x:c>
      <x:c r="N107" s="42" t="n">
        <x:v>4660</x:v>
      </x:c>
      <x:c r="O107" s="42" t="n">
        <x:f>M107*N107</x:f>
        <x:v>4660</x:v>
      </x:c>
      <x:c r="P107" s="50" t="n">
        <x:v>0.05</x:v>
      </x:c>
      <x:c r="Q107" s="42" t="n">
        <x:f>O107*P107</x:f>
        <x:v>233</x:v>
      </x:c>
      <x:c r="R107" s="42" t="n">
        <x:f>O107+Q107</x:f>
        <x:v>4893</x:v>
      </x:c>
      <x:c r="S107" s="41" t="str">
        <x:v>Series-substitutable default (APN/APL reference)</x:v>
      </x:c>
      <x:c r="T107" s="41" t="n">
        <x:v>2</x:v>
      </x:c>
      <x:c r="U107" s="41" t="str">
        <x:v>No</x:v>
      </x:c>
      <x:c r="V107" s="41" t="str">
        <x:v>Keep the movement/area; if user selects another approved Premier series, substitute the exact product from that series.</x:v>
      </x:c>
    </x:row>
    <x:row r="108">
      <x:c r="A108" s="41" t="str">
        <x:v>PREM-400-500</x:v>
      </x:c>
      <x:c r="B108" s="41" t="str">
        <x:v>Premier</x:v>
      </x:c>
      <x:c r="C108" s="41" t="str">
        <x:v>400K-500K</x:v>
      </x:c>
      <x:c r="D108" s="41" t="n">
        <x:v>400000</x:v>
      </x:c>
      <x:c r="E108" s="41" t="n">
        <x:v>500000</x:v>
      </x:c>
      <x:c r="F108" s="41" t="n">
        <x:v>3</x:v>
      </x:c>
      <x:c r="G108" s="41" t="str">
        <x:v>Strength</x:v>
      </x:c>
      <x:c r="H108" s="41" t="str">
        <x:v>Chest</x:v>
      </x:c>
      <x:c r="I108" s="41" t="str">
        <x:v>strength_chest</x:v>
      </x:c>
      <x:c r="J108" s="41" t="str">
        <x:v>APL45</x:v>
      </x:c>
      <x:c r="K108" s="41" t="str">
        <x:v>Commercial Plate Loaded Incline Fly</x:v>
      </x:c>
      <x:c r="L108" s="41" t="str">
        <x:v>Premier</x:v>
      </x:c>
      <x:c r="M108" s="41" t="n">
        <x:v>1</x:v>
      </x:c>
      <x:c r="N108" s="42" t="n">
        <x:v>2680</x:v>
      </x:c>
      <x:c r="O108" s="42" t="n">
        <x:f>M108*N108</x:f>
        <x:v>2680</x:v>
      </x:c>
      <x:c r="P108" s="50" t="n">
        <x:v>0.05</x:v>
      </x:c>
      <x:c r="Q108" s="42" t="n">
        <x:f>O108*P108</x:f>
        <x:v>134</x:v>
      </x:c>
      <x:c r="R108" s="42" t="n">
        <x:f>O108+Q108</x:f>
        <x:v>2814</x:v>
      </x:c>
      <x:c r="S108" s="41" t="str">
        <x:v>Series-substitutable default (APN/APL reference)</x:v>
      </x:c>
      <x:c r="T108" s="41" t="n">
        <x:v>3</x:v>
      </x:c>
      <x:c r="U108" s="41" t="str">
        <x:v>No</x:v>
      </x:c>
      <x:c r="V108" s="41" t="str">
        <x:v>Keep the movement/area; if user selects another approved Premier series, substitute the exact product from that series.</x:v>
      </x:c>
    </x:row>
    <x:row r="109">
      <x:c r="A109" s="41" t="str">
        <x:v>PREM-400-500</x:v>
      </x:c>
      <x:c r="B109" s="41" t="str">
        <x:v>Premier</x:v>
      </x:c>
      <x:c r="C109" s="41" t="str">
        <x:v>400K-500K</x:v>
      </x:c>
      <x:c r="D109" s="41" t="n">
        <x:v>400000</x:v>
      </x:c>
      <x:c r="E109" s="41" t="n">
        <x:v>500000</x:v>
      </x:c>
      <x:c r="F109" s="41" t="n">
        <x:v>3</x:v>
      </x:c>
      <x:c r="G109" s="41" t="str">
        <x:v>Strength</x:v>
      </x:c>
      <x:c r="H109" s="41" t="str">
        <x:v>Chest</x:v>
      </x:c>
      <x:c r="I109" s="41" t="str">
        <x:v>strength_chest</x:v>
      </x:c>
      <x:c r="J109" s="41" t="str">
        <x:v>APL29</x:v>
      </x:c>
      <x:c r="K109" s="41" t="str">
        <x:v>Standing Chest Press</x:v>
      </x:c>
      <x:c r="L109" s="41" t="str">
        <x:v>Premier</x:v>
      </x:c>
      <x:c r="M109" s="41" t="n">
        <x:v>1</x:v>
      </x:c>
      <x:c r="N109" s="42" t="n">
        <x:v>5710</x:v>
      </x:c>
      <x:c r="O109" s="42" t="n">
        <x:f>M109*N109</x:f>
        <x:v>5710</x:v>
      </x:c>
      <x:c r="P109" s="50" t="n">
        <x:v>0.05</x:v>
      </x:c>
      <x:c r="Q109" s="42" t="n">
        <x:f>O109*P109</x:f>
        <x:v>285.5</x:v>
      </x:c>
      <x:c r="R109" s="42" t="n">
        <x:f>O109+Q109</x:f>
        <x:v>5995.5</x:v>
      </x:c>
      <x:c r="S109" s="41" t="str">
        <x:v>Series-substitutable default (APN/APL reference)</x:v>
      </x:c>
      <x:c r="T109" s="41" t="n">
        <x:v>4</x:v>
      </x:c>
      <x:c r="U109" s="41" t="str">
        <x:v>No</x:v>
      </x:c>
      <x:c r="V109" s="41" t="str">
        <x:v>Keep the movement/area; if user selects another approved Premier series, substitute the exact product from that series.</x:v>
      </x:c>
    </x:row>
    <x:row r="110">
      <x:c r="A110" s="41" t="str">
        <x:v>PREM-400-500</x:v>
      </x:c>
      <x:c r="B110" s="41" t="str">
        <x:v>Premier</x:v>
      </x:c>
      <x:c r="C110" s="41" t="str">
        <x:v>400K-500K</x:v>
      </x:c>
      <x:c r="D110" s="41" t="n">
        <x:v>400000</x:v>
      </x:c>
      <x:c r="E110" s="41" t="n">
        <x:v>500000</x:v>
      </x:c>
      <x:c r="F110" s="41" t="n">
        <x:v>3</x:v>
      </x:c>
      <x:c r="G110" s="41" t="str">
        <x:v>Strength</x:v>
      </x:c>
      <x:c r="H110" s="41" t="str">
        <x:v>Shoulder</x:v>
      </x:c>
      <x:c r="I110" s="41" t="str">
        <x:v>strength_shoulder</x:v>
      </x:c>
      <x:c r="J110" s="41" t="str">
        <x:v>APN16</x:v>
      </x:c>
      <x:c r="K110" s="41" t="str">
        <x:v>Shoulder Press</x:v>
      </x:c>
      <x:c r="L110" s="41" t="str">
        <x:v>Premier</x:v>
      </x:c>
      <x:c r="M110" s="41" t="n">
        <x:v>1</x:v>
      </x:c>
      <x:c r="N110" s="42" t="n">
        <x:v>6140</x:v>
      </x:c>
      <x:c r="O110" s="42" t="n">
        <x:f>M110*N110</x:f>
        <x:v>6140</x:v>
      </x:c>
      <x:c r="P110" s="50" t="n">
        <x:v>0.05</x:v>
      </x:c>
      <x:c r="Q110" s="42" t="n">
        <x:f>O110*P110</x:f>
        <x:v>307</x:v>
      </x:c>
      <x:c r="R110" s="42" t="n">
        <x:f>O110+Q110</x:f>
        <x:v>6447</x:v>
      </x:c>
      <x:c r="S110" s="41" t="str">
        <x:v>Series-substitutable default (APN/APL reference)</x:v>
      </x:c>
      <x:c r="T110" s="41" t="n">
        <x:v>1</x:v>
      </x:c>
      <x:c r="U110" s="41" t="str">
        <x:v>No</x:v>
      </x:c>
      <x:c r="V110" s="41" t="str">
        <x:v>Keep the movement/area; if user selects another approved Premier series, substitute the exact product from that series.</x:v>
      </x:c>
    </x:row>
    <x:row r="111">
      <x:c r="A111" s="41" t="str">
        <x:v>PREM-400-500</x:v>
      </x:c>
      <x:c r="B111" s="41" t="str">
        <x:v>Premier</x:v>
      </x:c>
      <x:c r="C111" s="41" t="str">
        <x:v>400K-500K</x:v>
      </x:c>
      <x:c r="D111" s="41" t="n">
        <x:v>400000</x:v>
      </x:c>
      <x:c r="E111" s="41" t="n">
        <x:v>500000</x:v>
      </x:c>
      <x:c r="F111" s="41" t="n">
        <x:v>3</x:v>
      </x:c>
      <x:c r="G111" s="41" t="str">
        <x:v>Strength</x:v>
      </x:c>
      <x:c r="H111" s="41" t="str">
        <x:v>Shoulder</x:v>
      </x:c>
      <x:c r="I111" s="41" t="str">
        <x:v>strength_shoulder</x:v>
      </x:c>
      <x:c r="J111" s="41" t="str">
        <x:v>APN24</x:v>
      </x:c>
      <x:c r="K111" s="41" t="str">
        <x:v>Lateral Raise</x:v>
      </x:c>
      <x:c r="L111" s="41" t="str">
        <x:v>Premier</x:v>
      </x:c>
      <x:c r="M111" s="41" t="n">
        <x:v>1</x:v>
      </x:c>
      <x:c r="N111" s="42" t="n">
        <x:v>6140</x:v>
      </x:c>
      <x:c r="O111" s="42" t="n">
        <x:f>M111*N111</x:f>
        <x:v>6140</x:v>
      </x:c>
      <x:c r="P111" s="50" t="n">
        <x:v>0.05</x:v>
      </x:c>
      <x:c r="Q111" s="42" t="n">
        <x:f>O111*P111</x:f>
        <x:v>307</x:v>
      </x:c>
      <x:c r="R111" s="42" t="n">
        <x:f>O111+Q111</x:f>
        <x:v>6447</x:v>
      </x:c>
      <x:c r="S111" s="41" t="str">
        <x:v>Series-substitutable default (APN/APL reference)</x:v>
      </x:c>
      <x:c r="T111" s="41" t="n">
        <x:v>2</x:v>
      </x:c>
      <x:c r="U111" s="41" t="str">
        <x:v>No</x:v>
      </x:c>
      <x:c r="V111" s="41" t="str">
        <x:v>Keep the movement/area; if user selects another approved Premier series, substitute the exact product from that series.</x:v>
      </x:c>
    </x:row>
    <x:row r="112">
      <x:c r="A112" s="41" t="str">
        <x:v>PREM-400-500</x:v>
      </x:c>
      <x:c r="B112" s="41" t="str">
        <x:v>Premier</x:v>
      </x:c>
      <x:c r="C112" s="41" t="str">
        <x:v>400K-500K</x:v>
      </x:c>
      <x:c r="D112" s="41" t="n">
        <x:v>400000</x:v>
      </x:c>
      <x:c r="E112" s="41" t="n">
        <x:v>500000</x:v>
      </x:c>
      <x:c r="F112" s="41" t="n">
        <x:v>3</x:v>
      </x:c>
      <x:c r="G112" s="41" t="str">
        <x:v>Strength</x:v>
      </x:c>
      <x:c r="H112" s="41" t="str">
        <x:v>Shoulder</x:v>
      </x:c>
      <x:c r="I112" s="41" t="str">
        <x:v>strength_shoulder</x:v>
      </x:c>
      <x:c r="J112" s="41" t="str">
        <x:v>APL38</x:v>
      </x:c>
      <x:c r="K112" s="41" t="str">
        <x:v>Shoulder Press</x:v>
      </x:c>
      <x:c r="L112" s="41" t="str">
        <x:v>Premier</x:v>
      </x:c>
      <x:c r="M112" s="41" t="n">
        <x:v>1</x:v>
      </x:c>
      <x:c r="N112" s="42" t="n">
        <x:v>4210</x:v>
      </x:c>
      <x:c r="O112" s="42" t="n">
        <x:f>M112*N112</x:f>
        <x:v>4210</x:v>
      </x:c>
      <x:c r="P112" s="50" t="n">
        <x:v>0.05</x:v>
      </x:c>
      <x:c r="Q112" s="42" t="n">
        <x:f>O112*P112</x:f>
        <x:v>210.5</x:v>
      </x:c>
      <x:c r="R112" s="42" t="n">
        <x:f>O112+Q112</x:f>
        <x:v>4420.5</x:v>
      </x:c>
      <x:c r="S112" s="41" t="str">
        <x:v>Series-substitutable default (APN/APL reference)</x:v>
      </x:c>
      <x:c r="T112" s="41" t="n">
        <x:v>3</x:v>
      </x:c>
      <x:c r="U112" s="41" t="str">
        <x:v>No</x:v>
      </x:c>
      <x:c r="V112" s="41" t="str">
        <x:v>Keep the movement/area; if user selects another approved Premier series, substitute the exact product from that series.</x:v>
      </x:c>
    </x:row>
    <x:row r="113">
      <x:c r="A113" s="41" t="str">
        <x:v>PREM-400-500</x:v>
      </x:c>
      <x:c r="B113" s="41" t="str">
        <x:v>Premier</x:v>
      </x:c>
      <x:c r="C113" s="41" t="str">
        <x:v>400K-500K</x:v>
      </x:c>
      <x:c r="D113" s="41" t="n">
        <x:v>400000</x:v>
      </x:c>
      <x:c r="E113" s="41" t="n">
        <x:v>500000</x:v>
      </x:c>
      <x:c r="F113" s="41" t="n">
        <x:v>3</x:v>
      </x:c>
      <x:c r="G113" s="41" t="str">
        <x:v>Strength</x:v>
      </x:c>
      <x:c r="H113" s="41" t="str">
        <x:v>Shoulder</x:v>
      </x:c>
      <x:c r="I113" s="41" t="str">
        <x:v>strength_shoulder</x:v>
      </x:c>
      <x:c r="J113" s="41" t="str">
        <x:v>APL05</x:v>
      </x:c>
      <x:c r="K113" s="41" t="str">
        <x:v>Shoulder Press</x:v>
      </x:c>
      <x:c r="L113" s="41" t="str">
        <x:v>Premier</x:v>
      </x:c>
      <x:c r="M113" s="41" t="n">
        <x:v>1</x:v>
      </x:c>
      <x:c r="N113" s="42" t="n">
        <x:v>4660</x:v>
      </x:c>
      <x:c r="O113" s="42" t="n">
        <x:f>M113*N113</x:f>
        <x:v>4660</x:v>
      </x:c>
      <x:c r="P113" s="50" t="n">
        <x:v>0.05</x:v>
      </x:c>
      <x:c r="Q113" s="42" t="n">
        <x:f>O113*P113</x:f>
        <x:v>233</x:v>
      </x:c>
      <x:c r="R113" s="42" t="n">
        <x:f>O113+Q113</x:f>
        <x:v>4893</x:v>
      </x:c>
      <x:c r="S113" s="41" t="str">
        <x:v>Series-substitutable default (APN/APL reference)</x:v>
      </x:c>
      <x:c r="T113" s="41" t="n">
        <x:v>4</x:v>
      </x:c>
      <x:c r="U113" s="41" t="str">
        <x:v>No</x:v>
      </x:c>
      <x:c r="V113" s="41" t="str">
        <x:v>Keep the movement/area; if user selects another approved Premier series, substitute the exact product from that series.</x:v>
      </x:c>
    </x:row>
    <x:row r="114">
      <x:c r="A114" s="41" t="str">
        <x:v>PREM-400-500</x:v>
      </x:c>
      <x:c r="B114" s="41" t="str">
        <x:v>Premier</x:v>
      </x:c>
      <x:c r="C114" s="41" t="str">
        <x:v>400K-500K</x:v>
      </x:c>
      <x:c r="D114" s="41" t="n">
        <x:v>400000</x:v>
      </x:c>
      <x:c r="E114" s="41" t="n">
        <x:v>500000</x:v>
      </x:c>
      <x:c r="F114" s="41" t="n">
        <x:v>3</x:v>
      </x:c>
      <x:c r="G114" s="41" t="str">
        <x:v>Strength</x:v>
      </x:c>
      <x:c r="H114" s="41" t="str">
        <x:v>Back</x:v>
      </x:c>
      <x:c r="I114" s="41" t="str">
        <x:v>strength_back</x:v>
      </x:c>
      <x:c r="J114" s="41" t="str">
        <x:v>APN17</x:v>
      </x:c>
      <x:c r="K114" s="41" t="str">
        <x:v>Lat Pulldown</x:v>
      </x:c>
      <x:c r="L114" s="41" t="str">
        <x:v>Premier</x:v>
      </x:c>
      <x:c r="M114" s="41" t="n">
        <x:v>1</x:v>
      </x:c>
      <x:c r="N114" s="42" t="n">
        <x:v>6140</x:v>
      </x:c>
      <x:c r="O114" s="42" t="n">
        <x:f>M114*N114</x:f>
        <x:v>6140</x:v>
      </x:c>
      <x:c r="P114" s="50" t="n">
        <x:v>0.05</x:v>
      </x:c>
      <x:c r="Q114" s="42" t="n">
        <x:f>O114*P114</x:f>
        <x:v>307</x:v>
      </x:c>
      <x:c r="R114" s="42" t="n">
        <x:f>O114+Q114</x:f>
        <x:v>6447</x:v>
      </x:c>
      <x:c r="S114" s="41" t="str">
        <x:v>Series-substitutable default (APN/APL reference)</x:v>
      </x:c>
      <x:c r="T114" s="41" t="n">
        <x:v>1</x:v>
      </x:c>
      <x:c r="U114" s="41" t="str">
        <x:v>No</x:v>
      </x:c>
      <x:c r="V114" s="41" t="str">
        <x:v>Keep the movement/area; if user selects another approved Premier series, substitute the exact product from that series.</x:v>
      </x:c>
    </x:row>
    <x:row r="115">
      <x:c r="A115" s="41" t="str">
        <x:v>PREM-400-500</x:v>
      </x:c>
      <x:c r="B115" s="41" t="str">
        <x:v>Premier</x:v>
      </x:c>
      <x:c r="C115" s="41" t="str">
        <x:v>400K-500K</x:v>
      </x:c>
      <x:c r="D115" s="41" t="n">
        <x:v>400000</x:v>
      </x:c>
      <x:c r="E115" s="41" t="n">
        <x:v>500000</x:v>
      </x:c>
      <x:c r="F115" s="41" t="n">
        <x:v>3</x:v>
      </x:c>
      <x:c r="G115" s="41" t="str">
        <x:v>Strength</x:v>
      </x:c>
      <x:c r="H115" s="41" t="str">
        <x:v>Back</x:v>
      </x:c>
      <x:c r="I115" s="41" t="str">
        <x:v>strength_back</x:v>
      </x:c>
      <x:c r="J115" s="41" t="str">
        <x:v>APN15</x:v>
      </x:c>
      <x:c r="K115" s="41" t="str">
        <x:v>Seated Row</x:v>
      </x:c>
      <x:c r="L115" s="41" t="str">
        <x:v>Premier</x:v>
      </x:c>
      <x:c r="M115" s="41" t="n">
        <x:v>1</x:v>
      </x:c>
      <x:c r="N115" s="42" t="n">
        <x:v>6140</x:v>
      </x:c>
      <x:c r="O115" s="42" t="n">
        <x:f>M115*N115</x:f>
        <x:v>6140</x:v>
      </x:c>
      <x:c r="P115" s="50" t="n">
        <x:v>0.05</x:v>
      </x:c>
      <x:c r="Q115" s="42" t="n">
        <x:f>O115*P115</x:f>
        <x:v>307</x:v>
      </x:c>
      <x:c r="R115" s="42" t="n">
        <x:f>O115+Q115</x:f>
        <x:v>6447</x:v>
      </x:c>
      <x:c r="S115" s="41" t="str">
        <x:v>Series-substitutable default (APN/APL reference)</x:v>
      </x:c>
      <x:c r="T115" s="41" t="n">
        <x:v>2</x:v>
      </x:c>
      <x:c r="U115" s="41" t="str">
        <x:v>No</x:v>
      </x:c>
      <x:c r="V115" s="41" t="str">
        <x:v>Keep the movement/area; if user selects another approved Premier series, substitute the exact product from that series.</x:v>
      </x:c>
    </x:row>
    <x:row r="116">
      <x:c r="A116" s="41" t="str">
        <x:v>PREM-400-500</x:v>
      </x:c>
      <x:c r="B116" s="41" t="str">
        <x:v>Premier</x:v>
      </x:c>
      <x:c r="C116" s="41" t="str">
        <x:v>400K-500K</x:v>
      </x:c>
      <x:c r="D116" s="41" t="n">
        <x:v>400000</x:v>
      </x:c>
      <x:c r="E116" s="41" t="n">
        <x:v>500000</x:v>
      </x:c>
      <x:c r="F116" s="41" t="n">
        <x:v>3</x:v>
      </x:c>
      <x:c r="G116" s="41" t="str">
        <x:v>Strength</x:v>
      </x:c>
      <x:c r="H116" s="41" t="str">
        <x:v>Back</x:v>
      </x:c>
      <x:c r="I116" s="41" t="str">
        <x:v>strength_back</x:v>
      </x:c>
      <x:c r="J116" s="41" t="str">
        <x:v>APL11</x:v>
      </x:c>
      <x:c r="K116" s="41" t="str">
        <x:v>Low Row</x:v>
      </x:c>
      <x:c r="L116" s="41" t="str">
        <x:v>Premier</x:v>
      </x:c>
      <x:c r="M116" s="41" t="n">
        <x:v>1</x:v>
      </x:c>
      <x:c r="N116" s="42" t="n">
        <x:v>4660</x:v>
      </x:c>
      <x:c r="O116" s="42" t="n">
        <x:f>M116*N116</x:f>
        <x:v>4660</x:v>
      </x:c>
      <x:c r="P116" s="50" t="n">
        <x:v>0.05</x:v>
      </x:c>
      <x:c r="Q116" s="42" t="n">
        <x:f>O116*P116</x:f>
        <x:v>233</x:v>
      </x:c>
      <x:c r="R116" s="42" t="n">
        <x:f>O116+Q116</x:f>
        <x:v>4893</x:v>
      </x:c>
      <x:c r="S116" s="41" t="str">
        <x:v>Series-substitutable default (APN/APL reference)</x:v>
      </x:c>
      <x:c r="T116" s="41" t="n">
        <x:v>3</x:v>
      </x:c>
      <x:c r="U116" s="41" t="str">
        <x:v>No</x:v>
      </x:c>
      <x:c r="V116" s="41" t="str">
        <x:v>Keep the movement/area; if user selects another approved Premier series, substitute the exact product from that series.</x:v>
      </x:c>
    </x:row>
    <x:row r="117">
      <x:c r="A117" s="41" t="str">
        <x:v>PREM-400-500</x:v>
      </x:c>
      <x:c r="B117" s="41" t="str">
        <x:v>Premier</x:v>
      </x:c>
      <x:c r="C117" s="41" t="str">
        <x:v>400K-500K</x:v>
      </x:c>
      <x:c r="D117" s="41" t="n">
        <x:v>400000</x:v>
      </x:c>
      <x:c r="E117" s="41" t="n">
        <x:v>500000</x:v>
      </x:c>
      <x:c r="F117" s="41" t="n">
        <x:v>3</x:v>
      </x:c>
      <x:c r="G117" s="41" t="str">
        <x:v>Strength</x:v>
      </x:c>
      <x:c r="H117" s="41" t="str">
        <x:v>Back</x:v>
      </x:c>
      <x:c r="I117" s="41" t="str">
        <x:v>strength_back</x:v>
      </x:c>
      <x:c r="J117" s="41" t="str">
        <x:v>APL34</x:v>
      </x:c>
      <x:c r="K117" s="41" t="str">
        <x:v>Incline T-Bar Row With Adj Handle</x:v>
      </x:c>
      <x:c r="L117" s="41" t="str">
        <x:v>Premier</x:v>
      </x:c>
      <x:c r="M117" s="41" t="n">
        <x:v>1</x:v>
      </x:c>
      <x:c r="N117" s="42" t="n">
        <x:v>3500</x:v>
      </x:c>
      <x:c r="O117" s="42" t="n">
        <x:f>M117*N117</x:f>
        <x:v>3500</x:v>
      </x:c>
      <x:c r="P117" s="50" t="n">
        <x:v>0.05</x:v>
      </x:c>
      <x:c r="Q117" s="42" t="n">
        <x:f>O117*P117</x:f>
        <x:v>175</x:v>
      </x:c>
      <x:c r="R117" s="42" t="n">
        <x:f>O117+Q117</x:f>
        <x:v>3675</x:v>
      </x:c>
      <x:c r="S117" s="41" t="str">
        <x:v>Series-substitutable default (APN/APL reference)</x:v>
      </x:c>
      <x:c r="T117" s="41" t="n">
        <x:v>4</x:v>
      </x:c>
      <x:c r="U117" s="41" t="str">
        <x:v>No</x:v>
      </x:c>
      <x:c r="V117" s="41" t="str">
        <x:v>Keep the movement/area; if user selects another approved Premier series, substitute the exact product from that series.</x:v>
      </x:c>
    </x:row>
    <x:row r="118">
      <x:c r="A118" s="41" t="str">
        <x:v>PREM-400-500</x:v>
      </x:c>
      <x:c r="B118" s="41" t="str">
        <x:v>Premier</x:v>
      </x:c>
      <x:c r="C118" s="41" t="str">
        <x:v>400K-500K</x:v>
      </x:c>
      <x:c r="D118" s="41" t="n">
        <x:v>400000</x:v>
      </x:c>
      <x:c r="E118" s="41" t="n">
        <x:v>500000</x:v>
      </x:c>
      <x:c r="F118" s="41" t="n">
        <x:v>3</x:v>
      </x:c>
      <x:c r="G118" s="41" t="str">
        <x:v>Strength</x:v>
      </x:c>
      <x:c r="H118" s="41" t="str">
        <x:v>Back</x:v>
      </x:c>
      <x:c r="I118" s="41" t="str">
        <x:v>strength_back</x:v>
      </x:c>
      <x:c r="J118" s="41" t="str">
        <x:v>APL18</x:v>
      </x:c>
      <x:c r="K118" s="41" t="str">
        <x:v>Commercial Plate Loaded Pull Over</x:v>
      </x:c>
      <x:c r="L118" s="41" t="str">
        <x:v>Premier</x:v>
      </x:c>
      <x:c r="M118" s="41" t="n">
        <x:v>1</x:v>
      </x:c>
      <x:c r="N118" s="42" t="n">
        <x:v>4550</x:v>
      </x:c>
      <x:c r="O118" s="42" t="n">
        <x:f>M118*N118</x:f>
        <x:v>4550</x:v>
      </x:c>
      <x:c r="P118" s="50" t="n">
        <x:v>0.05</x:v>
      </x:c>
      <x:c r="Q118" s="42" t="n">
        <x:f>O118*P118</x:f>
        <x:v>227.5</x:v>
      </x:c>
      <x:c r="R118" s="42" t="n">
        <x:f>O118+Q118</x:f>
        <x:v>4777.5</x:v>
      </x:c>
      <x:c r="S118" s="41" t="str">
        <x:v>Series-substitutable default (APN/APL reference)</x:v>
      </x:c>
      <x:c r="T118" s="41" t="n">
        <x:v>5</x:v>
      </x:c>
      <x:c r="U118" s="41" t="str">
        <x:v>No</x:v>
      </x:c>
      <x:c r="V118" s="41" t="str">
        <x:v>Keep the movement/area; if user selects another approved Premier series, substitute the exact product from that series.</x:v>
      </x:c>
    </x:row>
    <x:row r="119">
      <x:c r="A119" s="41" t="str">
        <x:v>PREM-400-500</x:v>
      </x:c>
      <x:c r="B119" s="41" t="str">
        <x:v>Premier</x:v>
      </x:c>
      <x:c r="C119" s="41" t="str">
        <x:v>400K-500K</x:v>
      </x:c>
      <x:c r="D119" s="41" t="n">
        <x:v>400000</x:v>
      </x:c>
      <x:c r="E119" s="41" t="n">
        <x:v>500000</x:v>
      </x:c>
      <x:c r="F119" s="41" t="n">
        <x:v>3</x:v>
      </x:c>
      <x:c r="G119" s="41" t="str">
        <x:v>Strength</x:v>
      </x:c>
      <x:c r="H119" s="41" t="str">
        <x:v>Back</x:v>
      </x:c>
      <x:c r="I119" s="41" t="str">
        <x:v>strength_back</x:v>
      </x:c>
      <x:c r="J119" s="41" t="str">
        <x:v>APN32</x:v>
      </x:c>
      <x:c r="K119" s="41" t="str">
        <x:v>Ultimate Back Extension</x:v>
      </x:c>
      <x:c r="L119" s="41" t="str">
        <x:v>Premier</x:v>
      </x:c>
      <x:c r="M119" s="41" t="n">
        <x:v>1</x:v>
      </x:c>
      <x:c r="N119" s="42" t="n">
        <x:v>6140</x:v>
      </x:c>
      <x:c r="O119" s="42" t="n">
        <x:f>M119*N119</x:f>
        <x:v>6140</x:v>
      </x:c>
      <x:c r="P119" s="50" t="n">
        <x:v>0.05</x:v>
      </x:c>
      <x:c r="Q119" s="42" t="n">
        <x:f>O119*P119</x:f>
        <x:v>307</x:v>
      </x:c>
      <x:c r="R119" s="42" t="n">
        <x:f>O119+Q119</x:f>
        <x:v>6447</x:v>
      </x:c>
      <x:c r="S119" s="41" t="str">
        <x:v>Series-substitutable default (APN/APL reference)</x:v>
      </x:c>
      <x:c r="T119" s="41" t="n">
        <x:v>6</x:v>
      </x:c>
      <x:c r="U119" s="41" t="str">
        <x:v>No</x:v>
      </x:c>
      <x:c r="V119" s="41" t="str">
        <x:v>Keep the movement/area; if user selects another approved Premier series, substitute the exact product from that series.</x:v>
      </x:c>
    </x:row>
    <x:row r="120">
      <x:c r="A120" s="41" t="str">
        <x:v>PREM-400-500</x:v>
      </x:c>
      <x:c r="B120" s="41" t="str">
        <x:v>Premier</x:v>
      </x:c>
      <x:c r="C120" s="41" t="str">
        <x:v>400K-500K</x:v>
      </x:c>
      <x:c r="D120" s="41" t="n">
        <x:v>400000</x:v>
      </x:c>
      <x:c r="E120" s="41" t="n">
        <x:v>500000</x:v>
      </x:c>
      <x:c r="F120" s="41" t="n">
        <x:v>3</x:v>
      </x:c>
      <x:c r="G120" s="41" t="str">
        <x:v>Strength</x:v>
      </x:c>
      <x:c r="H120" s="41" t="str">
        <x:v>Arms</x:v>
      </x:c>
      <x:c r="I120" s="41" t="str">
        <x:v>strength_arms</x:v>
      </x:c>
      <x:c r="J120" s="41" t="str">
        <x:v>APN18</x:v>
      </x:c>
      <x:c r="K120" s="41" t="str">
        <x:v>Biceps Curl</x:v>
      </x:c>
      <x:c r="L120" s="41" t="str">
        <x:v>Premier</x:v>
      </x:c>
      <x:c r="M120" s="41" t="n">
        <x:v>1</x:v>
      </x:c>
      <x:c r="N120" s="42" t="n">
        <x:v>6140</x:v>
      </x:c>
      <x:c r="O120" s="42" t="n">
        <x:f>M120*N120</x:f>
        <x:v>6140</x:v>
      </x:c>
      <x:c r="P120" s="50" t="n">
        <x:v>0.05</x:v>
      </x:c>
      <x:c r="Q120" s="42" t="n">
        <x:f>O120*P120</x:f>
        <x:v>307</x:v>
      </x:c>
      <x:c r="R120" s="42" t="n">
        <x:f>O120+Q120</x:f>
        <x:v>6447</x:v>
      </x:c>
      <x:c r="S120" s="41" t="str">
        <x:v>Series-substitutable default (APN/APL reference)</x:v>
      </x:c>
      <x:c r="T120" s="41" t="n">
        <x:v>1</x:v>
      </x:c>
      <x:c r="U120" s="41" t="str">
        <x:v>No</x:v>
      </x:c>
      <x:c r="V120" s="41" t="str">
        <x:v>Keep the movement/area; if user selects another approved Premier series, substitute the exact product from that series.</x:v>
      </x:c>
    </x:row>
    <x:row r="121">
      <x:c r="A121" s="41" t="str">
        <x:v>PREM-400-500</x:v>
      </x:c>
      <x:c r="B121" s="41" t="str">
        <x:v>Premier</x:v>
      </x:c>
      <x:c r="C121" s="41" t="str">
        <x:v>400K-500K</x:v>
      </x:c>
      <x:c r="D121" s="41" t="n">
        <x:v>400000</x:v>
      </x:c>
      <x:c r="E121" s="41" t="n">
        <x:v>500000</x:v>
      </x:c>
      <x:c r="F121" s="41" t="n">
        <x:v>3</x:v>
      </x:c>
      <x:c r="G121" s="41" t="str">
        <x:v>Strength</x:v>
      </x:c>
      <x:c r="H121" s="41" t="str">
        <x:v>Arms</x:v>
      </x:c>
      <x:c r="I121" s="41" t="str">
        <x:v>strength_arms</x:v>
      </x:c>
      <x:c r="J121" s="41" t="str">
        <x:v>APN19</x:v>
      </x:c>
      <x:c r="K121" s="41" t="str">
        <x:v>Triceps Extension</x:v>
      </x:c>
      <x:c r="L121" s="41" t="str">
        <x:v>Premier</x:v>
      </x:c>
      <x:c r="M121" s="41" t="n">
        <x:v>1</x:v>
      </x:c>
      <x:c r="N121" s="42" t="n">
        <x:v>6140</x:v>
      </x:c>
      <x:c r="O121" s="42" t="n">
        <x:f>M121*N121</x:f>
        <x:v>6140</x:v>
      </x:c>
      <x:c r="P121" s="50" t="n">
        <x:v>0.05</x:v>
      </x:c>
      <x:c r="Q121" s="42" t="n">
        <x:f>O121*P121</x:f>
        <x:v>307</x:v>
      </x:c>
      <x:c r="R121" s="42" t="n">
        <x:f>O121+Q121</x:f>
        <x:v>6447</x:v>
      </x:c>
      <x:c r="S121" s="41" t="str">
        <x:v>Series-substitutable default (APN/APL reference)</x:v>
      </x:c>
      <x:c r="T121" s="41" t="n">
        <x:v>2</x:v>
      </x:c>
      <x:c r="U121" s="41" t="str">
        <x:v>No</x:v>
      </x:c>
      <x:c r="V121" s="41" t="str">
        <x:v>Keep the movement/area; if user selects another approved Premier series, substitute the exact product from that series.</x:v>
      </x:c>
    </x:row>
    <x:row r="122">
      <x:c r="A122" s="41" t="str">
        <x:v>PREM-400-500</x:v>
      </x:c>
      <x:c r="B122" s="41" t="str">
        <x:v>Premier</x:v>
      </x:c>
      <x:c r="C122" s="41" t="str">
        <x:v>400K-500K</x:v>
      </x:c>
      <x:c r="D122" s="41" t="n">
        <x:v>400000</x:v>
      </x:c>
      <x:c r="E122" s="41" t="n">
        <x:v>500000</x:v>
      </x:c>
      <x:c r="F122" s="41" t="n">
        <x:v>3</x:v>
      </x:c>
      <x:c r="G122" s="41" t="str">
        <x:v>Strength</x:v>
      </x:c>
      <x:c r="H122" s="41" t="str">
        <x:v>Arms</x:v>
      </x:c>
      <x:c r="I122" s="41" t="str">
        <x:v>strength_arms</x:v>
      </x:c>
      <x:c r="J122" s="41" t="str">
        <x:v>APN07</x:v>
      </x:c>
      <x:c r="K122" s="41" t="str">
        <x:v>Biceps / Triceps Curl</x:v>
      </x:c>
      <x:c r="L122" s="41" t="str">
        <x:v>Premier</x:v>
      </x:c>
      <x:c r="M122" s="41" t="n">
        <x:v>1</x:v>
      </x:c>
      <x:c r="N122" s="42" t="n">
        <x:v>6140</x:v>
      </x:c>
      <x:c r="O122" s="42" t="n">
        <x:f>M122*N122</x:f>
        <x:v>6140</x:v>
      </x:c>
      <x:c r="P122" s="50" t="n">
        <x:v>0.05</x:v>
      </x:c>
      <x:c r="Q122" s="42" t="n">
        <x:f>O122*P122</x:f>
        <x:v>307</x:v>
      </x:c>
      <x:c r="R122" s="42" t="n">
        <x:f>O122+Q122</x:f>
        <x:v>6447</x:v>
      </x:c>
      <x:c r="S122" s="41" t="str">
        <x:v>Series-substitutable default (APN/APL reference)</x:v>
      </x:c>
      <x:c r="T122" s="41" t="n">
        <x:v>3</x:v>
      </x:c>
      <x:c r="U122" s="41" t="str">
        <x:v>No</x:v>
      </x:c>
      <x:c r="V122" s="41" t="str">
        <x:v>Keep the movement/area; if user selects another approved Premier series, substitute the exact product from that series.</x:v>
      </x:c>
    </x:row>
    <x:row r="123">
      <x:c r="A123" s="41" t="str">
        <x:v>PREM-400-500</x:v>
      </x:c>
      <x:c r="B123" s="41" t="str">
        <x:v>Premier</x:v>
      </x:c>
      <x:c r="C123" s="41" t="str">
        <x:v>400K-500K</x:v>
      </x:c>
      <x:c r="D123" s="41" t="n">
        <x:v>400000</x:v>
      </x:c>
      <x:c r="E123" s="41" t="n">
        <x:v>500000</x:v>
      </x:c>
      <x:c r="F123" s="41" t="n">
        <x:v>3</x:v>
      </x:c>
      <x:c r="G123" s="41" t="str">
        <x:v>Strength</x:v>
      </x:c>
      <x:c r="H123" s="41" t="str">
        <x:v>Arms</x:v>
      </x:c>
      <x:c r="I123" s="41" t="str">
        <x:v>strength_arms</x:v>
      </x:c>
      <x:c r="J123" s="41" t="str">
        <x:v>APN27</x:v>
      </x:c>
      <x:c r="K123" s="41" t="str">
        <x:v>Triceps Dip</x:v>
      </x:c>
      <x:c r="L123" s="41" t="str">
        <x:v>Premier</x:v>
      </x:c>
      <x:c r="M123" s="41" t="n">
        <x:v>1</x:v>
      </x:c>
      <x:c r="N123" s="42" t="n">
        <x:v>6140</x:v>
      </x:c>
      <x:c r="O123" s="42" t="n">
        <x:f>M123*N123</x:f>
        <x:v>6140</x:v>
      </x:c>
      <x:c r="P123" s="50" t="n">
        <x:v>0.05</x:v>
      </x:c>
      <x:c r="Q123" s="42" t="n">
        <x:f>O123*P123</x:f>
        <x:v>307</x:v>
      </x:c>
      <x:c r="R123" s="42" t="n">
        <x:f>O123+Q123</x:f>
        <x:v>6447</x:v>
      </x:c>
      <x:c r="S123" s="41" t="str">
        <x:v>Series-substitutable default (APN/APL reference)</x:v>
      </x:c>
      <x:c r="T123" s="41" t="n">
        <x:v>4</x:v>
      </x:c>
      <x:c r="U123" s="41" t="str">
        <x:v>No</x:v>
      </x:c>
      <x:c r="V123" s="41" t="str">
        <x:v>Keep the movement/area; if user selects another approved Premier series, substitute the exact product from that series.</x:v>
      </x:c>
    </x:row>
    <x:row r="124">
      <x:c r="A124" s="41" t="str">
        <x:v>PREM-400-500</x:v>
      </x:c>
      <x:c r="B124" s="41" t="str">
        <x:v>Premier</x:v>
      </x:c>
      <x:c r="C124" s="41" t="str">
        <x:v>400K-500K</x:v>
      </x:c>
      <x:c r="D124" s="41" t="n">
        <x:v>400000</x:v>
      </x:c>
      <x:c r="E124" s="41" t="n">
        <x:v>500000</x:v>
      </x:c>
      <x:c r="F124" s="41" t="n">
        <x:v>3</x:v>
      </x:c>
      <x:c r="G124" s="41" t="str">
        <x:v>Strength</x:v>
      </x:c>
      <x:c r="H124" s="41" t="str">
        <x:v>Core / Abs</x:v>
      </x:c>
      <x:c r="I124" s="41" t="str">
        <x:v>strength_core_abs</x:v>
      </x:c>
      <x:c r="J124" s="41" t="str">
        <x:v>APN30</x:v>
      </x:c>
      <x:c r="K124" s="41" t="str">
        <x:v>Total Abdominal</x:v>
      </x:c>
      <x:c r="L124" s="41" t="str">
        <x:v>Premier</x:v>
      </x:c>
      <x:c r="M124" s="41" t="n">
        <x:v>1</x:v>
      </x:c>
      <x:c r="N124" s="42" t="n">
        <x:v>6140</x:v>
      </x:c>
      <x:c r="O124" s="42" t="n">
        <x:f>M124*N124</x:f>
        <x:v>6140</x:v>
      </x:c>
      <x:c r="P124" s="50" t="n">
        <x:v>0.05</x:v>
      </x:c>
      <x:c r="Q124" s="42" t="n">
        <x:f>O124*P124</x:f>
        <x:v>307</x:v>
      </x:c>
      <x:c r="R124" s="42" t="n">
        <x:f>O124+Q124</x:f>
        <x:v>6447</x:v>
      </x:c>
      <x:c r="S124" s="41" t="str">
        <x:v>Series-substitutable default (APN/APL reference)</x:v>
      </x:c>
      <x:c r="T124" s="41" t="n">
        <x:v>1</x:v>
      </x:c>
      <x:c r="U124" s="41" t="str">
        <x:v>No</x:v>
      </x:c>
      <x:c r="V124" s="41" t="str">
        <x:v>Keep the movement/area; if user selects another approved Premier series, substitute the exact product from that series.</x:v>
      </x:c>
    </x:row>
    <x:row r="125">
      <x:c r="A125" s="41" t="str">
        <x:v>PREM-400-500</x:v>
      </x:c>
      <x:c r="B125" s="41" t="str">
        <x:v>Premier</x:v>
      </x:c>
      <x:c r="C125" s="41" t="str">
        <x:v>400K-500K</x:v>
      </x:c>
      <x:c r="D125" s="41" t="n">
        <x:v>400000</x:v>
      </x:c>
      <x:c r="E125" s="41" t="n">
        <x:v>500000</x:v>
      </x:c>
      <x:c r="F125" s="41" t="n">
        <x:v>3</x:v>
      </x:c>
      <x:c r="G125" s="41" t="str">
        <x:v>Strength</x:v>
      </x:c>
      <x:c r="H125" s="41" t="str">
        <x:v>Core / Abs</x:v>
      </x:c>
      <x:c r="I125" s="41" t="str">
        <x:v>strength_core_abs</x:v>
      </x:c>
      <x:c r="J125" s="41" t="str">
        <x:v>APN43</x:v>
      </x:c>
      <x:c r="K125" s="41" t="str">
        <x:v>Rotary Torso</x:v>
      </x:c>
      <x:c r="L125" s="41" t="str">
        <x:v>Premier</x:v>
      </x:c>
      <x:c r="M125" s="41" t="n">
        <x:v>1</x:v>
      </x:c>
      <x:c r="N125" s="42" t="n">
        <x:v>6140</x:v>
      </x:c>
      <x:c r="O125" s="42" t="n">
        <x:f>M125*N125</x:f>
        <x:v>6140</x:v>
      </x:c>
      <x:c r="P125" s="50" t="n">
        <x:v>0.05</x:v>
      </x:c>
      <x:c r="Q125" s="42" t="n">
        <x:f>O125*P125</x:f>
        <x:v>307</x:v>
      </x:c>
      <x:c r="R125" s="42" t="n">
        <x:f>O125+Q125</x:f>
        <x:v>6447</x:v>
      </x:c>
      <x:c r="S125" s="41" t="str">
        <x:v>Series-substitutable default (APN/APL reference)</x:v>
      </x:c>
      <x:c r="T125" s="41" t="n">
        <x:v>2</x:v>
      </x:c>
      <x:c r="U125" s="41" t="str">
        <x:v>No</x:v>
      </x:c>
      <x:c r="V125" s="41" t="str">
        <x:v>Keep the movement/area; if user selects another approved Premier series, substitute the exact product from that series.</x:v>
      </x:c>
    </x:row>
    <x:row r="126">
      <x:c r="A126" s="41" t="str">
        <x:v>PREM-400-500</x:v>
      </x:c>
      <x:c r="B126" s="41" t="str">
        <x:v>Premier</x:v>
      </x:c>
      <x:c r="C126" s="41" t="str">
        <x:v>400K-500K</x:v>
      </x:c>
      <x:c r="D126" s="41" t="n">
        <x:v>400000</x:v>
      </x:c>
      <x:c r="E126" s="41" t="n">
        <x:v>500000</x:v>
      </x:c>
      <x:c r="F126" s="41" t="n">
        <x:v>3</x:v>
      </x:c>
      <x:c r="G126" s="41" t="str">
        <x:v>Strength</x:v>
      </x:c>
      <x:c r="H126" s="41" t="str">
        <x:v>Core / Abs</x:v>
      </x:c>
      <x:c r="I126" s="41" t="str">
        <x:v>strength_core_abs</x:v>
      </x:c>
      <x:c r="J126" s="41" t="str">
        <x:v>APL53</x:v>
      </x:c>
      <x:c r="K126" s="41" t="str">
        <x:v>Vertical Knee Raise</x:v>
      </x:c>
      <x:c r="L126" s="41" t="str">
        <x:v>Premier</x:v>
      </x:c>
      <x:c r="M126" s="41" t="n">
        <x:v>1</x:v>
      </x:c>
      <x:c r="N126" s="42" t="n">
        <x:v>1710</x:v>
      </x:c>
      <x:c r="O126" s="42" t="n">
        <x:f>M126*N126</x:f>
        <x:v>1710</x:v>
      </x:c>
      <x:c r="P126" s="50" t="n">
        <x:v>0.05</x:v>
      </x:c>
      <x:c r="Q126" s="42" t="n">
        <x:f>O126*P126</x:f>
        <x:v>85.5</x:v>
      </x:c>
      <x:c r="R126" s="42" t="n">
        <x:f>O126+Q126</x:f>
        <x:v>1795.5</x:v>
      </x:c>
      <x:c r="S126" s="41" t="str">
        <x:v>Series-substitutable default (APN/APL reference)</x:v>
      </x:c>
      <x:c r="T126" s="41" t="n">
        <x:v>3</x:v>
      </x:c>
      <x:c r="U126" s="41" t="str">
        <x:v>No</x:v>
      </x:c>
      <x:c r="V126" s="41" t="str">
        <x:v>Keep the movement/area; if user selects another approved Premier series, substitute the exact product from that series.</x:v>
      </x:c>
    </x:row>
    <x:row r="127">
      <x:c r="A127" s="41" t="str">
        <x:v>PREM-400-500</x:v>
      </x:c>
      <x:c r="B127" s="41" t="str">
        <x:v>Premier</x:v>
      </x:c>
      <x:c r="C127" s="41" t="str">
        <x:v>400K-500K</x:v>
      </x:c>
      <x:c r="D127" s="41" t="n">
        <x:v>400000</x:v>
      </x:c>
      <x:c r="E127" s="41" t="n">
        <x:v>500000</x:v>
      </x:c>
      <x:c r="F127" s="41" t="n">
        <x:v>3</x:v>
      </x:c>
      <x:c r="G127" s="41" t="str">
        <x:v>Strength</x:v>
      </x:c>
      <x:c r="H127" s="41" t="str">
        <x:v>Legs</x:v>
      </x:c>
      <x:c r="I127" s="41" t="str">
        <x:v>strength_legs</x:v>
      </x:c>
      <x:c r="J127" s="41" t="str">
        <x:v>APN08</x:v>
      </x:c>
      <x:c r="K127" s="41" t="str">
        <x:v>Leg Press/Calf</x:v>
      </x:c>
      <x:c r="L127" s="41" t="str">
        <x:v>Premier</x:v>
      </x:c>
      <x:c r="M127" s="41" t="n">
        <x:v>1</x:v>
      </x:c>
      <x:c r="N127" s="42" t="n">
        <x:v>6470</x:v>
      </x:c>
      <x:c r="O127" s="42" t="n">
        <x:f>M127*N127</x:f>
        <x:v>6470</x:v>
      </x:c>
      <x:c r="P127" s="50" t="n">
        <x:v>0.05</x:v>
      </x:c>
      <x:c r="Q127" s="42" t="n">
        <x:f>O127*P127</x:f>
        <x:v>323.5</x:v>
      </x:c>
      <x:c r="R127" s="42" t="n">
        <x:f>O127+Q127</x:f>
        <x:v>6793.5</x:v>
      </x:c>
      <x:c r="S127" s="41" t="str">
        <x:v>Series-substitutable default (APN/APL reference)</x:v>
      </x:c>
      <x:c r="T127" s="41" t="n">
        <x:v>1</x:v>
      </x:c>
      <x:c r="U127" s="41" t="str">
        <x:v>No</x:v>
      </x:c>
      <x:c r="V127" s="41" t="str">
        <x:v>Keep the movement/area; if user selects another approved Premier series, substitute the exact product from that series.</x:v>
      </x:c>
    </x:row>
    <x:row r="128">
      <x:c r="A128" s="41" t="str">
        <x:v>PREM-400-500</x:v>
      </x:c>
      <x:c r="B128" s="41" t="str">
        <x:v>Premier</x:v>
      </x:c>
      <x:c r="C128" s="41" t="str">
        <x:v>400K-500K</x:v>
      </x:c>
      <x:c r="D128" s="41" t="n">
        <x:v>400000</x:v>
      </x:c>
      <x:c r="E128" s="41" t="n">
        <x:v>500000</x:v>
      </x:c>
      <x:c r="F128" s="41" t="n">
        <x:v>3</x:v>
      </x:c>
      <x:c r="G128" s="41" t="str">
        <x:v>Strength</x:v>
      </x:c>
      <x:c r="H128" s="41" t="str">
        <x:v>Legs</x:v>
      </x:c>
      <x:c r="I128" s="41" t="str">
        <x:v>strength_legs</x:v>
      </x:c>
      <x:c r="J128" s="41" t="str">
        <x:v>APN20</x:v>
      </x:c>
      <x:c r="K128" s="41" t="str">
        <x:v>Leg Extension</x:v>
      </x:c>
      <x:c r="L128" s="41" t="str">
        <x:v>Premier</x:v>
      </x:c>
      <x:c r="M128" s="41" t="n">
        <x:v>1</x:v>
      </x:c>
      <x:c r="N128" s="42" t="n">
        <x:v>6140</x:v>
      </x:c>
      <x:c r="O128" s="42" t="n">
        <x:f>M128*N128</x:f>
        <x:v>6140</x:v>
      </x:c>
      <x:c r="P128" s="50" t="n">
        <x:v>0.05</x:v>
      </x:c>
      <x:c r="Q128" s="42" t="n">
        <x:f>O128*P128</x:f>
        <x:v>307</x:v>
      </x:c>
      <x:c r="R128" s="42" t="n">
        <x:f>O128+Q128</x:f>
        <x:v>6447</x:v>
      </x:c>
      <x:c r="S128" s="41" t="str">
        <x:v>Series-substitutable default (APN/APL reference)</x:v>
      </x:c>
      <x:c r="T128" s="41" t="n">
        <x:v>2</x:v>
      </x:c>
      <x:c r="U128" s="41" t="str">
        <x:v>No</x:v>
      </x:c>
      <x:c r="V128" s="41" t="str">
        <x:v>Keep the movement/area; if user selects another approved Premier series, substitute the exact product from that series.</x:v>
      </x:c>
    </x:row>
    <x:row r="129">
      <x:c r="A129" s="41" t="str">
        <x:v>PREM-400-500</x:v>
      </x:c>
      <x:c r="B129" s="41" t="str">
        <x:v>Premier</x:v>
      </x:c>
      <x:c r="C129" s="41" t="str">
        <x:v>400K-500K</x:v>
      </x:c>
      <x:c r="D129" s="41" t="n">
        <x:v>400000</x:v>
      </x:c>
      <x:c r="E129" s="41" t="n">
        <x:v>500000</x:v>
      </x:c>
      <x:c r="F129" s="41" t="n">
        <x:v>3</x:v>
      </x:c>
      <x:c r="G129" s="41" t="str">
        <x:v>Strength</x:v>
      </x:c>
      <x:c r="H129" s="41" t="str">
        <x:v>Legs</x:v>
      </x:c>
      <x:c r="I129" s="41" t="str">
        <x:v>strength_legs</x:v>
      </x:c>
      <x:c r="J129" s="41" t="str">
        <x:v>APN21</x:v>
      </x:c>
      <x:c r="K129" s="41" t="str">
        <x:v>Prone Leg Curl</x:v>
      </x:c>
      <x:c r="L129" s="41" t="str">
        <x:v>Premier</x:v>
      </x:c>
      <x:c r="M129" s="41" t="n">
        <x:v>1</x:v>
      </x:c>
      <x:c r="N129" s="42" t="n">
        <x:v>6140</x:v>
      </x:c>
      <x:c r="O129" s="42" t="n">
        <x:f>M129*N129</x:f>
        <x:v>6140</x:v>
      </x:c>
      <x:c r="P129" s="50" t="n">
        <x:v>0.05</x:v>
      </x:c>
      <x:c r="Q129" s="42" t="n">
        <x:f>O129*P129</x:f>
        <x:v>307</x:v>
      </x:c>
      <x:c r="R129" s="42" t="n">
        <x:f>O129+Q129</x:f>
        <x:v>6447</x:v>
      </x:c>
      <x:c r="S129" s="41" t="str">
        <x:v>Series-substitutable default (APN/APL reference)</x:v>
      </x:c>
      <x:c r="T129" s="41" t="n">
        <x:v>3</x:v>
      </x:c>
      <x:c r="U129" s="41" t="str">
        <x:v>No</x:v>
      </x:c>
      <x:c r="V129" s="41" t="str">
        <x:v>Keep the movement/area; if user selects another approved Premier series, substitute the exact product from that series.</x:v>
      </x:c>
    </x:row>
    <x:row r="130">
      <x:c r="A130" s="41" t="str">
        <x:v>PREM-400-500</x:v>
      </x:c>
      <x:c r="B130" s="41" t="str">
        <x:v>Premier</x:v>
      </x:c>
      <x:c r="C130" s="41" t="str">
        <x:v>400K-500K</x:v>
      </x:c>
      <x:c r="D130" s="41" t="n">
        <x:v>400000</x:v>
      </x:c>
      <x:c r="E130" s="41" t="n">
        <x:v>500000</x:v>
      </x:c>
      <x:c r="F130" s="41" t="n">
        <x:v>3</x:v>
      </x:c>
      <x:c r="G130" s="41" t="str">
        <x:v>Strength</x:v>
      </x:c>
      <x:c r="H130" s="41" t="str">
        <x:v>Legs</x:v>
      </x:c>
      <x:c r="I130" s="41" t="str">
        <x:v>strength_legs</x:v>
      </x:c>
      <x:c r="J130" s="41" t="str">
        <x:v>APL43</x:v>
      </x:c>
      <x:c r="K130" s="41" t="str">
        <x:v>Hack Squat</x:v>
      </x:c>
      <x:c r="L130" s="41" t="str">
        <x:v>Premier</x:v>
      </x:c>
      <x:c r="M130" s="41" t="n">
        <x:v>1</x:v>
      </x:c>
      <x:c r="N130" s="42" t="n">
        <x:v>6410</x:v>
      </x:c>
      <x:c r="O130" s="42" t="n">
        <x:f>M130*N130</x:f>
        <x:v>6410</x:v>
      </x:c>
      <x:c r="P130" s="50" t="n">
        <x:v>0.05</x:v>
      </x:c>
      <x:c r="Q130" s="42" t="n">
        <x:f>O130*P130</x:f>
        <x:v>320.5</x:v>
      </x:c>
      <x:c r="R130" s="42" t="n">
        <x:f>O130+Q130</x:f>
        <x:v>6730.5</x:v>
      </x:c>
      <x:c r="S130" s="41" t="str">
        <x:v>Series-substitutable default (APN/APL reference)</x:v>
      </x:c>
      <x:c r="T130" s="41" t="n">
        <x:v>4</x:v>
      </x:c>
      <x:c r="U130" s="41" t="str">
        <x:v>No</x:v>
      </x:c>
      <x:c r="V130" s="41" t="str">
        <x:v>Keep the movement/area; if user selects another approved Premier series, substitute the exact product from that series.</x:v>
      </x:c>
    </x:row>
    <x:row r="131">
      <x:c r="A131" s="41" t="str">
        <x:v>PREM-400-500</x:v>
      </x:c>
      <x:c r="B131" s="41" t="str">
        <x:v>Premier</x:v>
      </x:c>
      <x:c r="C131" s="41" t="str">
        <x:v>400K-500K</x:v>
      </x:c>
      <x:c r="D131" s="41" t="n">
        <x:v>400000</x:v>
      </x:c>
      <x:c r="E131" s="41" t="n">
        <x:v>500000</x:v>
      </x:c>
      <x:c r="F131" s="41" t="n">
        <x:v>3</x:v>
      </x:c>
      <x:c r="G131" s="41" t="str">
        <x:v>Strength</x:v>
      </x:c>
      <x:c r="H131" s="41" t="str">
        <x:v>Legs</x:v>
      </x:c>
      <x:c r="I131" s="41" t="str">
        <x:v>strength_legs</x:v>
      </x:c>
      <x:c r="J131" s="41" t="str">
        <x:v>APL54</x:v>
      </x:c>
      <x:c r="K131" s="41" t="str">
        <x:v>Seated Calf Raise</x:v>
      </x:c>
      <x:c r="L131" s="41" t="str">
        <x:v>Premier</x:v>
      </x:c>
      <x:c r="M131" s="41" t="n">
        <x:v>1</x:v>
      </x:c>
      <x:c r="N131" s="42" t="n">
        <x:v>2140</x:v>
      </x:c>
      <x:c r="O131" s="42" t="n">
        <x:f>M131*N131</x:f>
        <x:v>2140</x:v>
      </x:c>
      <x:c r="P131" s="50" t="n">
        <x:v>0.05</x:v>
      </x:c>
      <x:c r="Q131" s="42" t="n">
        <x:f>O131*P131</x:f>
        <x:v>107</x:v>
      </x:c>
      <x:c r="R131" s="42" t="n">
        <x:f>O131+Q131</x:f>
        <x:v>2247</x:v>
      </x:c>
      <x:c r="S131" s="41" t="str">
        <x:v>Series-substitutable default (APN/APL reference)</x:v>
      </x:c>
      <x:c r="T131" s="41" t="n">
        <x:v>5</x:v>
      </x:c>
      <x:c r="U131" s="41" t="str">
        <x:v>No</x:v>
      </x:c>
      <x:c r="V131" s="41" t="str">
        <x:v>Keep the movement/area; if user selects another approved Premier series, substitute the exact product from that series.</x:v>
      </x:c>
    </x:row>
    <x:row r="132">
      <x:c r="A132" s="41" t="str">
        <x:v>PREM-400-500</x:v>
      </x:c>
      <x:c r="B132" s="41" t="str">
        <x:v>Premier</x:v>
      </x:c>
      <x:c r="C132" s="41" t="str">
        <x:v>400K-500K</x:v>
      </x:c>
      <x:c r="D132" s="41" t="n">
        <x:v>400000</x:v>
      </x:c>
      <x:c r="E132" s="41" t="n">
        <x:v>500000</x:v>
      </x:c>
      <x:c r="F132" s="41" t="n">
        <x:v>3</x:v>
      </x:c>
      <x:c r="G132" s="41" t="str">
        <x:v>Strength</x:v>
      </x:c>
      <x:c r="H132" s="41" t="str">
        <x:v>Legs</x:v>
      </x:c>
      <x:c r="I132" s="41" t="str">
        <x:v>strength_legs</x:v>
      </x:c>
      <x:c r="J132" s="41" t="str">
        <x:v>APL24</x:v>
      </x:c>
      <x:c r="K132" s="41" t="str">
        <x:v>Belt Squat Machine</x:v>
      </x:c>
      <x:c r="L132" s="41" t="str">
        <x:v>Premier</x:v>
      </x:c>
      <x:c r="M132" s="41" t="n">
        <x:v>1</x:v>
      </x:c>
      <x:c r="N132" s="42" t="n">
        <x:v>4770</x:v>
      </x:c>
      <x:c r="O132" s="42" t="n">
        <x:f>M132*N132</x:f>
        <x:v>4770</x:v>
      </x:c>
      <x:c r="P132" s="50" t="n">
        <x:v>0.05</x:v>
      </x:c>
      <x:c r="Q132" s="42" t="n">
        <x:f>O132*P132</x:f>
        <x:v>238.5</x:v>
      </x:c>
      <x:c r="R132" s="42" t="n">
        <x:f>O132+Q132</x:f>
        <x:v>5008.5</x:v>
      </x:c>
      <x:c r="S132" s="41" t="str">
        <x:v>Series-substitutable default (APN/APL reference)</x:v>
      </x:c>
      <x:c r="T132" s="41" t="n">
        <x:v>6</x:v>
      </x:c>
      <x:c r="U132" s="41" t="str">
        <x:v>No</x:v>
      </x:c>
      <x:c r="V132" s="41" t="str">
        <x:v>Keep the movement/area; if user selects another approved Premier series, substitute the exact product from that series.</x:v>
      </x:c>
    </x:row>
    <x:row r="133">
      <x:c r="A133" s="41" t="str">
        <x:v>PREM-400-500</x:v>
      </x:c>
      <x:c r="B133" s="41" t="str">
        <x:v>Premier</x:v>
      </x:c>
      <x:c r="C133" s="41" t="str">
        <x:v>400K-500K</x:v>
      </x:c>
      <x:c r="D133" s="41" t="n">
        <x:v>400000</x:v>
      </x:c>
      <x:c r="E133" s="41" t="n">
        <x:v>500000</x:v>
      </x:c>
      <x:c r="F133" s="41" t="n">
        <x:v>3</x:v>
      </x:c>
      <x:c r="G133" s="41" t="str">
        <x:v>Strength</x:v>
      </x:c>
      <x:c r="H133" s="41" t="str">
        <x:v>Glutes</x:v>
      </x:c>
      <x:c r="I133" s="41" t="str">
        <x:v>strength_glutes</x:v>
      </x:c>
      <x:c r="J133" s="41" t="str">
        <x:v>APN01</x:v>
      </x:c>
      <x:c r="K133" s="41" t="str">
        <x:v>Adductor / Abductor</x:v>
      </x:c>
      <x:c r="L133" s="41" t="str">
        <x:v>Premier</x:v>
      </x:c>
      <x:c r="M133" s="41" t="n">
        <x:v>1</x:v>
      </x:c>
      <x:c r="N133" s="42" t="n">
        <x:v>6140</x:v>
      </x:c>
      <x:c r="O133" s="42" t="n">
        <x:f>M133*N133</x:f>
        <x:v>6140</x:v>
      </x:c>
      <x:c r="P133" s="50" t="n">
        <x:v>0.05</x:v>
      </x:c>
      <x:c r="Q133" s="42" t="n">
        <x:f>O133*P133</x:f>
        <x:v>307</x:v>
      </x:c>
      <x:c r="R133" s="42" t="n">
        <x:f>O133+Q133</x:f>
        <x:v>6447</x:v>
      </x:c>
      <x:c r="S133" s="41" t="str">
        <x:v>Series-substitutable default (APN/APL reference)</x:v>
      </x:c>
      <x:c r="T133" s="41" t="n">
        <x:v>1</x:v>
      </x:c>
      <x:c r="U133" s="41" t="str">
        <x:v>No</x:v>
      </x:c>
      <x:c r="V133" s="41" t="str">
        <x:v>Keep the movement/area; if user selects another approved Premier series, substitute the exact product from that series.</x:v>
      </x:c>
    </x:row>
    <x:row r="134">
      <x:c r="A134" s="41" t="str">
        <x:v>PREM-400-500</x:v>
      </x:c>
      <x:c r="B134" s="41" t="str">
        <x:v>Premier</x:v>
      </x:c>
      <x:c r="C134" s="41" t="str">
        <x:v>400K-500K</x:v>
      </x:c>
      <x:c r="D134" s="41" t="n">
        <x:v>400000</x:v>
      </x:c>
      <x:c r="E134" s="41" t="n">
        <x:v>500000</x:v>
      </x:c>
      <x:c r="F134" s="41" t="n">
        <x:v>3</x:v>
      </x:c>
      <x:c r="G134" s="41" t="str">
        <x:v>Strength</x:v>
      </x:c>
      <x:c r="H134" s="41" t="str">
        <x:v>Glutes</x:v>
      </x:c>
      <x:c r="I134" s="41" t="str">
        <x:v>strength_glutes</x:v>
      </x:c>
      <x:c r="J134" s="41" t="str">
        <x:v>APN31</x:v>
      </x:c>
      <x:c r="K134" s="41" t="str">
        <x:v>Ultimate Pin Loaded Hip Thrust</x:v>
      </x:c>
      <x:c r="L134" s="41" t="str">
        <x:v>Premier</x:v>
      </x:c>
      <x:c r="M134" s="41" t="n">
        <x:v>1</x:v>
      </x:c>
      <x:c r="N134" s="42" t="n">
        <x:v>6840</x:v>
      </x:c>
      <x:c r="O134" s="42" t="n">
        <x:f>M134*N134</x:f>
        <x:v>6840</x:v>
      </x:c>
      <x:c r="P134" s="50" t="n">
        <x:v>0.05</x:v>
      </x:c>
      <x:c r="Q134" s="42" t="n">
        <x:f>O134*P134</x:f>
        <x:v>342</x:v>
      </x:c>
      <x:c r="R134" s="42" t="n">
        <x:f>O134+Q134</x:f>
        <x:v>7182</x:v>
      </x:c>
      <x:c r="S134" s="41" t="str">
        <x:v>Series-substitutable default (APN/APL reference)</x:v>
      </x:c>
      <x:c r="T134" s="41" t="n">
        <x:v>2</x:v>
      </x:c>
      <x:c r="U134" s="41" t="str">
        <x:v>No</x:v>
      </x:c>
      <x:c r="V134" s="41" t="str">
        <x:v>Keep the movement/area; if user selects another approved Premier series, substitute the exact product from that series.</x:v>
      </x:c>
    </x:row>
    <x:row r="135">
      <x:c r="A135" s="41" t="str">
        <x:v>PREM-400-500</x:v>
      </x:c>
      <x:c r="B135" s="41" t="str">
        <x:v>Premier</x:v>
      </x:c>
      <x:c r="C135" s="41" t="str">
        <x:v>400K-500K</x:v>
      </x:c>
      <x:c r="D135" s="41" t="n">
        <x:v>400000</x:v>
      </x:c>
      <x:c r="E135" s="41" t="n">
        <x:v>500000</x:v>
      </x:c>
      <x:c r="F135" s="41" t="n">
        <x:v>3</x:v>
      </x:c>
      <x:c r="G135" s="41" t="str">
        <x:v>Strength</x:v>
      </x:c>
      <x:c r="H135" s="41" t="str">
        <x:v>Glutes</x:v>
      </x:c>
      <x:c r="I135" s="41" t="str">
        <x:v>strength_glutes</x:v>
      </x:c>
      <x:c r="J135" s="41" t="str">
        <x:v>APN34</x:v>
      </x:c>
      <x:c r="K135" s="41" t="str">
        <x:v>Ultimate Cable Kick Back</x:v>
      </x:c>
      <x:c r="L135" s="41" t="str">
        <x:v>Premier</x:v>
      </x:c>
      <x:c r="M135" s="41" t="n">
        <x:v>1</x:v>
      </x:c>
      <x:c r="N135" s="42" t="n">
        <x:v>6140</x:v>
      </x:c>
      <x:c r="O135" s="42" t="n">
        <x:f>M135*N135</x:f>
        <x:v>6140</x:v>
      </x:c>
      <x:c r="P135" s="50" t="n">
        <x:v>0.05</x:v>
      </x:c>
      <x:c r="Q135" s="42" t="n">
        <x:f>O135*P135</x:f>
        <x:v>307</x:v>
      </x:c>
      <x:c r="R135" s="42" t="n">
        <x:f>O135+Q135</x:f>
        <x:v>6447</x:v>
      </x:c>
      <x:c r="S135" s="41" t="str">
        <x:v>Series-substitutable default (APN/APL reference)</x:v>
      </x:c>
      <x:c r="T135" s="41" t="n">
        <x:v>3</x:v>
      </x:c>
      <x:c r="U135" s="41" t="str">
        <x:v>No</x:v>
      </x:c>
      <x:c r="V135" s="41" t="str">
        <x:v>Keep the movement/area; if user selects another approved Premier series, substitute the exact product from that series.</x:v>
      </x:c>
    </x:row>
    <x:row r="136">
      <x:c r="A136" s="41" t="str">
        <x:v>PREM-400-500</x:v>
      </x:c>
      <x:c r="B136" s="41" t="str">
        <x:v>Premier</x:v>
      </x:c>
      <x:c r="C136" s="41" t="str">
        <x:v>400K-500K</x:v>
      </x:c>
      <x:c r="D136" s="41" t="n">
        <x:v>400000</x:v>
      </x:c>
      <x:c r="E136" s="41" t="n">
        <x:v>500000</x:v>
      </x:c>
      <x:c r="F136" s="41" t="n">
        <x:v>4</x:v>
      </x:c>
      <x:c r="G136" s="41" t="str">
        <x:v>Benches</x:v>
      </x:c>
      <x:c r="H136" s="41" t="str">
        <x:v>Adjustable Bench</x:v>
      </x:c>
      <x:c r="I136" s="41" t="str">
        <x:v>benches_adjustable_bench</x:v>
      </x:c>
      <x:c r="J136" s="41" t="str">
        <x:v>TQL73</x:v>
      </x:c>
      <x:c r="K136" s="41" t="str">
        <x:v>Adjustable Bench</x:v>
      </x:c>
      <x:c r="L136" s="41" t="str">
        <x:v>Premier</x:v>
      </x:c>
      <x:c r="M136" s="41" t="n">
        <x:v>6</x:v>
      </x:c>
      <x:c r="N136" s="42" t="n">
        <x:v>1810</x:v>
      </x:c>
      <x:c r="O136" s="42" t="n">
        <x:f>M136*N136</x:f>
        <x:v>10860</x:v>
      </x:c>
      <x:c r="P136" s="50" t="n">
        <x:v>0.05</x:v>
      </x:c>
      <x:c r="Q136" s="42" t="n">
        <x:f>O136*P136</x:f>
        <x:v>543</x:v>
      </x:c>
      <x:c r="R136" s="42" t="n">
        <x:f>O136+Q136</x:f>
        <x:v>11403</x:v>
      </x:c>
      <x:c r="S136" s="41" t="str">
        <x:v>Budget-tier quantity</x:v>
      </x:c>
      <x:c r="T136" s="41" t="n">
        <x:v>1</x:v>
      </x:c>
      <x:c r="U136" s="41" t="str">
        <x:v>No</x:v>
      </x:c>
      <x:c r="V136" s="41" t="str">
        <x:v>Bench quantity scales with gym capacity.</x:v>
      </x:c>
    </x:row>
    <x:row r="137">
      <x:c r="A137" s="41" t="str">
        <x:v>PREM-400-500</x:v>
      </x:c>
      <x:c r="B137" s="41" t="str">
        <x:v>Premier</x:v>
      </x:c>
      <x:c r="C137" s="41" t="str">
        <x:v>400K-500K</x:v>
      </x:c>
      <x:c r="D137" s="41" t="n">
        <x:v>400000</x:v>
      </x:c>
      <x:c r="E137" s="41" t="n">
        <x:v>500000</x:v>
      </x:c>
      <x:c r="F137" s="41" t="n">
        <x:v>4</x:v>
      </x:c>
      <x:c r="G137" s="41" t="str">
        <x:v>Benches</x:v>
      </x:c>
      <x:c r="H137" s="41" t="str">
        <x:v>Flat Bench</x:v>
      </x:c>
      <x:c r="I137" s="41" t="str">
        <x:v>benches_flat_bench</x:v>
      </x:c>
      <x:c r="J137" s="41" t="str">
        <x:v>TQL69</x:v>
      </x:c>
      <x:c r="K137" s="41" t="str">
        <x:v>Flat Bench</x:v>
      </x:c>
      <x:c r="L137" s="41" t="str">
        <x:v>Premier</x:v>
      </x:c>
      <x:c r="M137" s="41" t="n">
        <x:v>3</x:v>
      </x:c>
      <x:c r="N137" s="42" t="n">
        <x:v>960</x:v>
      </x:c>
      <x:c r="O137" s="42" t="n">
        <x:f>M137*N137</x:f>
        <x:v>2880</x:v>
      </x:c>
      <x:c r="P137" s="50" t="n">
        <x:v>0.05</x:v>
      </x:c>
      <x:c r="Q137" s="42" t="n">
        <x:f>O137*P137</x:f>
        <x:v>144</x:v>
      </x:c>
      <x:c r="R137" s="42" t="n">
        <x:f>O137+Q137</x:f>
        <x:v>3024</x:v>
      </x:c>
      <x:c r="S137" s="41" t="str">
        <x:v>Budget-tier quantity</x:v>
      </x:c>
      <x:c r="T137" s="41" t="n">
        <x:v>2</x:v>
      </x:c>
      <x:c r="U137" s="41" t="str">
        <x:v>No</x:v>
      </x:c>
      <x:c r="V137" s="41" t="str">
        <x:v>Bench quantity scales with gym capacity.</x:v>
      </x:c>
    </x:row>
    <x:row r="138">
      <x:c r="A138" s="41" t="str">
        <x:v>PREM-400-500</x:v>
      </x:c>
      <x:c r="B138" s="41" t="str">
        <x:v>Premier</x:v>
      </x:c>
      <x:c r="C138" s="41" t="str">
        <x:v>400K-500K</x:v>
      </x:c>
      <x:c r="D138" s="41" t="n">
        <x:v>400000</x:v>
      </x:c>
      <x:c r="E138" s="41" t="n">
        <x:v>500000</x:v>
      </x:c>
      <x:c r="F138" s="41" t="n">
        <x:v>4</x:v>
      </x:c>
      <x:c r="G138" s="41" t="str">
        <x:v>Benches</x:v>
      </x:c>
      <x:c r="H138" s="41" t="str">
        <x:v>Adjustable Crunch Bench</x:v>
      </x:c>
      <x:c r="I138" s="41" t="str">
        <x:v>benches_adjustable_crunch_bench</x:v>
      </x:c>
      <x:c r="J138" s="41" t="str">
        <x:v>TQL75</x:v>
      </x:c>
      <x:c r="K138" s="41" t="str">
        <x:v>Adjustable Abdominal Bench</x:v>
      </x:c>
      <x:c r="L138" s="41" t="str">
        <x:v>Premier</x:v>
      </x:c>
      <x:c r="M138" s="41" t="n">
        <x:v>2</x:v>
      </x:c>
      <x:c r="N138" s="42" t="n">
        <x:v>1810</x:v>
      </x:c>
      <x:c r="O138" s="42" t="n">
        <x:f>M138*N138</x:f>
        <x:v>3620</x:v>
      </x:c>
      <x:c r="P138" s="50" t="n">
        <x:v>0.05</x:v>
      </x:c>
      <x:c r="Q138" s="42" t="n">
        <x:f>O138*P138</x:f>
        <x:v>181</x:v>
      </x:c>
      <x:c r="R138" s="42" t="n">
        <x:f>O138+Q138</x:f>
        <x:v>3801</x:v>
      </x:c>
      <x:c r="S138" s="41" t="str">
        <x:v>Budget-tier quantity</x:v>
      </x:c>
      <x:c r="T138" s="41" t="n">
        <x:v>3</x:v>
      </x:c>
      <x:c r="U138" s="41" t="str">
        <x:v>No</x:v>
      </x:c>
      <x:c r="V138" s="41" t="str">
        <x:v>Bench quantity scales with gym capacity.</x:v>
      </x:c>
    </x:row>
    <x:row r="139">
      <x:c r="A139" s="41" t="str">
        <x:v>PREM-400-500</x:v>
      </x:c>
      <x:c r="B139" s="41" t="str">
        <x:v>Premier</x:v>
      </x:c>
      <x:c r="C139" s="41" t="str">
        <x:v>400K-500K</x:v>
      </x:c>
      <x:c r="D139" s="41" t="n">
        <x:v>400000</x:v>
      </x:c>
      <x:c r="E139" s="41" t="n">
        <x:v>500000</x:v>
      </x:c>
      <x:c r="F139" s="41" t="n">
        <x:v>4</x:v>
      </x:c>
      <x:c r="G139" s="41" t="str">
        <x:v>Benches</x:v>
      </x:c>
      <x:c r="H139" s="41" t="str">
        <x:v>Lower Back Bench</x:v>
      </x:c>
      <x:c r="I139" s="41" t="str">
        <x:v>benches_lower_back_bench</x:v>
      </x:c>
      <x:c r="J139" s="41" t="str">
        <x:v>TQL48</x:v>
      </x:c>
      <x:c r="K139" s="41" t="str">
        <x:v>Roman Chair (Hyper/Back Extension)</x:v>
      </x:c>
      <x:c r="L139" s="41" t="str">
        <x:v>Premier</x:v>
      </x:c>
      <x:c r="M139" s="41" t="n">
        <x:v>2</x:v>
      </x:c>
      <x:c r="N139" s="42" t="n">
        <x:v>2090</x:v>
      </x:c>
      <x:c r="O139" s="42" t="n">
        <x:f>M139*N139</x:f>
        <x:v>4180</x:v>
      </x:c>
      <x:c r="P139" s="50" t="n">
        <x:v>0.05</x:v>
      </x:c>
      <x:c r="Q139" s="42" t="n">
        <x:f>O139*P139</x:f>
        <x:v>209</x:v>
      </x:c>
      <x:c r="R139" s="42" t="n">
        <x:f>O139+Q139</x:f>
        <x:v>4389</x:v>
      </x:c>
      <x:c r="S139" s="41" t="str">
        <x:v>Budget-tier quantity</x:v>
      </x:c>
      <x:c r="T139" s="41" t="n">
        <x:v>4</x:v>
      </x:c>
      <x:c r="U139" s="41" t="str">
        <x:v>No</x:v>
      </x:c>
      <x:c r="V139" s="41" t="str">
        <x:v>Bench quantity scales with gym capacity.</x:v>
      </x:c>
    </x:row>
    <x:row r="140">
      <x:c r="A140" s="41" t="str">
        <x:v>PREM-400-500</x:v>
      </x:c>
      <x:c r="B140" s="41" t="str">
        <x:v>Premier</x:v>
      </x:c>
      <x:c r="C140" s="41" t="str">
        <x:v>400K-500K</x:v>
      </x:c>
      <x:c r="D140" s="41" t="n">
        <x:v>400000</x:v>
      </x:c>
      <x:c r="E140" s="41" t="n">
        <x:v>500000</x:v>
      </x:c>
      <x:c r="F140" s="41" t="n">
        <x:v>4</x:v>
      </x:c>
      <x:c r="G140" s="41" t="str">
        <x:v>Benches</x:v>
      </x:c>
      <x:c r="H140" s="41" t="str">
        <x:v>Olympic Flat Bench</x:v>
      </x:c>
      <x:c r="I140" s="41" t="str">
        <x:v>benches_olympic_flat_bench</x:v>
      </x:c>
      <x:c r="J140" s="41" t="str">
        <x:v>TQL63</x:v>
      </x:c>
      <x:c r="K140" s="41" t="str">
        <x:v>Flat Olympic Bench</x:v>
      </x:c>
      <x:c r="L140" s="41" t="str">
        <x:v>Premier</x:v>
      </x:c>
      <x:c r="M140" s="41" t="n">
        <x:v>2</x:v>
      </x:c>
      <x:c r="N140" s="42" t="n">
        <x:v>2430</x:v>
      </x:c>
      <x:c r="O140" s="42" t="n">
        <x:f>M140*N140</x:f>
        <x:v>4860</x:v>
      </x:c>
      <x:c r="P140" s="50" t="n">
        <x:v>0.05</x:v>
      </x:c>
      <x:c r="Q140" s="42" t="n">
        <x:f>O140*P140</x:f>
        <x:v>243</x:v>
      </x:c>
      <x:c r="R140" s="42" t="n">
        <x:f>O140+Q140</x:f>
        <x:v>5103</x:v>
      </x:c>
      <x:c r="S140" s="41" t="str">
        <x:v>Budget-tier quantity</x:v>
      </x:c>
      <x:c r="T140" s="41" t="n">
        <x:v>5</x:v>
      </x:c>
      <x:c r="U140" s="41" t="str">
        <x:v>No</x:v>
      </x:c>
      <x:c r="V140" s="41" t="str">
        <x:v>Bench quantity scales with gym capacity.</x:v>
      </x:c>
    </x:row>
    <x:row r="141">
      <x:c r="A141" s="41" t="str">
        <x:v>PREM-400-500</x:v>
      </x:c>
      <x:c r="B141" s="41" t="str">
        <x:v>Premier</x:v>
      </x:c>
      <x:c r="C141" s="41" t="str">
        <x:v>400K-500K</x:v>
      </x:c>
      <x:c r="D141" s="41" t="n">
        <x:v>400000</x:v>
      </x:c>
      <x:c r="E141" s="41" t="n">
        <x:v>500000</x:v>
      </x:c>
      <x:c r="F141" s="41" t="n">
        <x:v>4</x:v>
      </x:c>
      <x:c r="G141" s="41" t="str">
        <x:v>Benches</x:v>
      </x:c>
      <x:c r="H141" s="41" t="str">
        <x:v>Olympic Incline Bench</x:v>
      </x:c>
      <x:c r="I141" s="41" t="str">
        <x:v>benches_olympic_incline_bench</x:v>
      </x:c>
      <x:c r="J141" s="41" t="str">
        <x:v>TQL64</x:v>
      </x:c>
      <x:c r="K141" s="41" t="str">
        <x:v>Incline Olympic Bench</x:v>
      </x:c>
      <x:c r="L141" s="41" t="str">
        <x:v>Premier</x:v>
      </x:c>
      <x:c r="M141" s="41" t="n">
        <x:v>2</x:v>
      </x:c>
      <x:c r="N141" s="42" t="n">
        <x:v>2430</x:v>
      </x:c>
      <x:c r="O141" s="42" t="n">
        <x:f>M141*N141</x:f>
        <x:v>4860</x:v>
      </x:c>
      <x:c r="P141" s="50" t="n">
        <x:v>0.05</x:v>
      </x:c>
      <x:c r="Q141" s="42" t="n">
        <x:f>O141*P141</x:f>
        <x:v>243</x:v>
      </x:c>
      <x:c r="R141" s="42" t="n">
        <x:f>O141+Q141</x:f>
        <x:v>5103</x:v>
      </x:c>
      <x:c r="S141" s="41" t="str">
        <x:v>Budget-tier quantity</x:v>
      </x:c>
      <x:c r="T141" s="41" t="n">
        <x:v>6</x:v>
      </x:c>
      <x:c r="U141" s="41" t="str">
        <x:v>No</x:v>
      </x:c>
      <x:c r="V141" s="41" t="str">
        <x:v>Bench quantity scales with gym capacity.</x:v>
      </x:c>
    </x:row>
    <x:row r="142">
      <x:c r="A142" s="41" t="str">
        <x:v>PREM-400-500</x:v>
      </x:c>
      <x:c r="B142" s="41" t="str">
        <x:v>Premier</x:v>
      </x:c>
      <x:c r="C142" s="41" t="str">
        <x:v>400K-500K</x:v>
      </x:c>
      <x:c r="D142" s="41" t="n">
        <x:v>400000</x:v>
      </x:c>
      <x:c r="E142" s="41" t="n">
        <x:v>500000</x:v>
      </x:c>
      <x:c r="F142" s="41" t="n">
        <x:v>4</x:v>
      </x:c>
      <x:c r="G142" s="41" t="str">
        <x:v>Benches</x:v>
      </x:c>
      <x:c r="H142" s="41" t="str">
        <x:v>Olympic Decline Bench</x:v>
      </x:c>
      <x:c r="I142" s="41" t="str">
        <x:v>benches_olympic_decline_bench</x:v>
      </x:c>
      <x:c r="J142" s="41" t="str">
        <x:v>TQL65</x:v>
      </x:c>
      <x:c r="K142" s="41" t="str">
        <x:v>Olympic Decline Bench</x:v>
      </x:c>
      <x:c r="L142" s="41" t="str">
        <x:v>Premier</x:v>
      </x:c>
      <x:c r="M142" s="41" t="n">
        <x:v>1</x:v>
      </x:c>
      <x:c r="N142" s="42" t="n">
        <x:v>2660</x:v>
      </x:c>
      <x:c r="O142" s="42" t="n">
        <x:f>M142*N142</x:f>
        <x:v>2660</x:v>
      </x:c>
      <x:c r="P142" s="50" t="n">
        <x:v>0.05</x:v>
      </x:c>
      <x:c r="Q142" s="42" t="n">
        <x:f>O142*P142</x:f>
        <x:v>133</x:v>
      </x:c>
      <x:c r="R142" s="42" t="n">
        <x:f>O142+Q142</x:f>
        <x:v>2793</x:v>
      </x:c>
      <x:c r="S142" s="41" t="str">
        <x:v>Budget-tier quantity</x:v>
      </x:c>
      <x:c r="T142" s="41" t="n">
        <x:v>7</x:v>
      </x:c>
      <x:c r="U142" s="41" t="str">
        <x:v>No</x:v>
      </x:c>
      <x:c r="V142" s="41" t="str">
        <x:v>Bench quantity scales with gym capacity.</x:v>
      </x:c>
    </x:row>
    <x:row r="143">
      <x:c r="A143" s="41" t="str">
        <x:v>PREM-400-500</x:v>
      </x:c>
      <x:c r="B143" s="41" t="str">
        <x:v>Premier</x:v>
      </x:c>
      <x:c r="C143" s="41" t="str">
        <x:v>400K-500K</x:v>
      </x:c>
      <x:c r="D143" s="41" t="n">
        <x:v>400000</x:v>
      </x:c>
      <x:c r="E143" s="41" t="n">
        <x:v>500000</x:v>
      </x:c>
      <x:c r="F143" s="41" t="n">
        <x:v>5</x:v>
      </x:c>
      <x:c r="G143" s="41" t="str">
        <x:v>Free Weights</x:v>
      </x:c>
      <x:c r="H143" s="41" t="str">
        <x:v>Dumbbell Full Set 2.5–50kg</x:v>
      </x:c>
      <x:c r="I143" s="41" t="str">
        <x:v>free_weights_dumbbell_full_set_2_5_50kg</x:v>
      </x:c>
      <x:c r="J143" s="41" t="str">
        <x:v>PM1012-50</x:v>
      </x:c>
      <x:c r="K143" s="41" t="str">
        <x:v>Rubber Dumbbell Set - 2.5kg–50 kg</x:v>
      </x:c>
      <x:c r="L143" s="41" t="str">
        <x:v>Premier</x:v>
      </x:c>
      <x:c r="M143" s="41" t="n">
        <x:v>1</x:v>
      </x:c>
      <x:c r="N143" s="42" t="n">
        <x:v>13800</x:v>
      </x:c>
      <x:c r="O143" s="42" t="n">
        <x:f>M143*N143</x:f>
        <x:v>13800</x:v>
      </x:c>
      <x:c r="P143" s="50" t="n">
        <x:v>0.05</x:v>
      </x:c>
      <x:c r="Q143" s="42" t="n">
        <x:f>O143*P143</x:f>
        <x:v>690</x:v>
      </x:c>
      <x:c r="R143" s="42" t="n">
        <x:f>O143+Q143</x:f>
        <x:v>14490</x:v>
      </x:c>
      <x:c r="S143" s="41" t="str">
        <x:v>Brand-matched bundle</x:v>
      </x:c>
      <x:c r="T143" s="41" t="n">
        <x:v>1</x:v>
      </x:c>
      <x:c r="U143" s="41" t="str">
        <x:v>No</x:v>
      </x:c>
      <x:c r="V143" s="41" t="str">
        <x:v>Full set requires exactly 2 matching dumbbell racks.</x:v>
      </x:c>
    </x:row>
    <x:row r="144">
      <x:c r="A144" s="41" t="str">
        <x:v>PREM-400-500</x:v>
      </x:c>
      <x:c r="B144" s="41" t="str">
        <x:v>Premier</x:v>
      </x:c>
      <x:c r="C144" s="41" t="str">
        <x:v>400K-500K</x:v>
      </x:c>
      <x:c r="D144" s="41" t="n">
        <x:v>400000</x:v>
      </x:c>
      <x:c r="E144" s="41" t="n">
        <x:v>500000</x:v>
      </x:c>
      <x:c r="F144" s="41" t="n">
        <x:v>5</x:v>
      </x:c>
      <x:c r="G144" s="41" t="str">
        <x:v>Free Weights</x:v>
      </x:c>
      <x:c r="H144" s="41" t="str">
        <x:v>Dumbbell Half Set 2.5–25kg</x:v>
      </x:c>
      <x:c r="I144" s="41" t="str">
        <x:v>free_weights_dumbbell_half_set_2_5_25kg</x:v>
      </x:c>
      <x:c r="J144" s="41" t="str">
        <x:v>PM1012</x:v>
      </x:c>
      <x:c r="K144" s="41" t="str">
        <x:v>Rubber Dumbbell Set - 2.5kg–25 kg</x:v>
      </x:c>
      <x:c r="L144" s="41" t="str">
        <x:v>Premier</x:v>
      </x:c>
      <x:c r="M144" s="41" t="n">
        <x:v>1</x:v>
      </x:c>
      <x:c r="N144" s="42" t="n">
        <x:v>4000</x:v>
      </x:c>
      <x:c r="O144" s="42" t="n">
        <x:f>M144*N144</x:f>
        <x:v>4000</x:v>
      </x:c>
      <x:c r="P144" s="50" t="n">
        <x:v>0.05</x:v>
      </x:c>
      <x:c r="Q144" s="42" t="n">
        <x:f>O144*P144</x:f>
        <x:v>200</x:v>
      </x:c>
      <x:c r="R144" s="42" t="n">
        <x:f>O144+Q144</x:f>
        <x:v>4200</x:v>
      </x:c>
      <x:c r="S144" s="41" t="str">
        <x:v>Brand-matched bundle</x:v>
      </x:c>
      <x:c r="T144" s="41" t="n">
        <x:v>2</x:v>
      </x:c>
      <x:c r="U144" s="41" t="str">
        <x:v>No</x:v>
      </x:c>
      <x:c r="V144" s="41" t="str">
        <x:v>Half set requires exactly 1 additional matching rack.</x:v>
      </x:c>
    </x:row>
    <x:row r="145">
      <x:c r="A145" s="41" t="str">
        <x:v>PREM-400-500</x:v>
      </x:c>
      <x:c r="B145" s="41" t="str">
        <x:v>Premier</x:v>
      </x:c>
      <x:c r="C145" s="41" t="str">
        <x:v>400K-500K</x:v>
      </x:c>
      <x:c r="D145" s="41" t="n">
        <x:v>400000</x:v>
      </x:c>
      <x:c r="E145" s="41" t="n">
        <x:v>500000</x:v>
      </x:c>
      <x:c r="F145" s="41" t="n">
        <x:v>5</x:v>
      </x:c>
      <x:c r="G145" s="41" t="str">
        <x:v>Free Weights</x:v>
      </x:c>
      <x:c r="H145" s="41" t="str">
        <x:v>Dumbbell Rack</x:v>
      </x:c>
      <x:c r="I145" s="41" t="str">
        <x:v>free_weights_dumbbell_rack</x:v>
      </x:c>
      <x:c r="J145" s="41" t="str">
        <x:v>PM0011C</x:v>
      </x:c>
      <x:c r="K145" s="41" t="str">
        <x:v>Dumbbell Rack</x:v>
      </x:c>
      <x:c r="L145" s="41" t="str">
        <x:v>Premier</x:v>
      </x:c>
      <x:c r="M145" s="41" t="n">
        <x:v>3</x:v>
      </x:c>
      <x:c r="N145" s="42" t="n">
        <x:v>1400</x:v>
      </x:c>
      <x:c r="O145" s="42" t="n">
        <x:f>M145*N145</x:f>
        <x:v>4200</x:v>
      </x:c>
      <x:c r="P145" s="50" t="n">
        <x:v>0.05</x:v>
      </x:c>
      <x:c r="Q145" s="42" t="n">
        <x:f>O145*P145</x:f>
        <x:v>210</x:v>
      </x:c>
      <x:c r="R145" s="42" t="n">
        <x:f>O145+Q145</x:f>
        <x:v>4410</x:v>
      </x:c>
      <x:c r="S145" s="41" t="str">
        <x:v>Derived from dumbbell bundle</x:v>
      </x:c>
      <x:c r="T145" s="41" t="n">
        <x:v>3</x:v>
      </x:c>
      <x:c r="U145" s="41" t="str">
        <x:v>No</x:v>
      </x:c>
      <x:c r="V145" s="41" t="str">
        <x:v>2 racks per full set; 1 rack per half set.</x:v>
      </x:c>
    </x:row>
    <x:row r="146">
      <x:c r="A146" s="41" t="str">
        <x:v>PREM-400-500</x:v>
      </x:c>
      <x:c r="B146" s="41" t="str">
        <x:v>Premier</x:v>
      </x:c>
      <x:c r="C146" s="41" t="str">
        <x:v>400K-500K</x:v>
      </x:c>
      <x:c r="D146" s="41" t="n">
        <x:v>400000</x:v>
      </x:c>
      <x:c r="E146" s="41" t="n">
        <x:v>500000</x:v>
      </x:c>
      <x:c r="F146" s="41" t="n">
        <x:v>5</x:v>
      </x:c>
      <x:c r="G146" s="41" t="str">
        <x:v>Free Weights</x:v>
      </x:c>
      <x:c r="H146" s="41" t="str">
        <x:v>TPU Weight Plate 2.5kg</x:v>
      </x:c>
      <x:c r="I146" s="41" t="str">
        <x:v>free_weights_tpu_weight_plate_2_5kg</x:v>
      </x:c>
      <x:c r="J146" s="41" t="str">
        <x:v>PM2030C</x:v>
      </x:c>
      <x:c r="K146" s="41" t="str">
        <x:v>TPU Weight Plate - 2.5 kg</x:v>
      </x:c>
      <x:c r="L146" s="41" t="str">
        <x:v>Premier</x:v>
      </x:c>
      <x:c r="M146" s="41" t="n">
        <x:v>20</x:v>
      </x:c>
      <x:c r="N146" s="42" t="n">
        <x:v>40</x:v>
      </x:c>
      <x:c r="O146" s="42" t="n">
        <x:f>M146*N146</x:f>
        <x:v>800</x:v>
      </x:c>
      <x:c r="P146" s="50" t="n">
        <x:v>0.05</x:v>
      </x:c>
      <x:c r="Q146" s="42" t="n">
        <x:f>O146*P146</x:f>
        <x:v>40</x:v>
      </x:c>
      <x:c r="R146" s="42" t="n">
        <x:f>O146+Q146</x:f>
        <x:v>840</x:v>
      </x:c>
      <x:c r="S146" s="41" t="str">
        <x:v>Brand + premium family locked</x:v>
      </x:c>
      <x:c r="T146" s="41" t="n">
        <x:v>11</x:v>
      </x:c>
      <x:c r="U146" s="41" t="str">
        <x:v>No</x:v>
      </x:c>
      <x:c r="V146" s="41" t="str">
        <x:v>20 pcs each size. One complete family only; never mix plate families.</x:v>
      </x:c>
    </x:row>
    <x:row r="147">
      <x:c r="A147" s="41" t="str">
        <x:v>PREM-400-500</x:v>
      </x:c>
      <x:c r="B147" s="41" t="str">
        <x:v>Premier</x:v>
      </x:c>
      <x:c r="C147" s="41" t="str">
        <x:v>400K-500K</x:v>
      </x:c>
      <x:c r="D147" s="41" t="n">
        <x:v>400000</x:v>
      </x:c>
      <x:c r="E147" s="41" t="n">
        <x:v>500000</x:v>
      </x:c>
      <x:c r="F147" s="41" t="n">
        <x:v>5</x:v>
      </x:c>
      <x:c r="G147" s="41" t="str">
        <x:v>Free Weights</x:v>
      </x:c>
      <x:c r="H147" s="41" t="str">
        <x:v>TPU Weight Plate 5kg</x:v>
      </x:c>
      <x:c r="I147" s="41" t="str">
        <x:v>free_weights_tpu_weight_plate_5kg</x:v>
      </x:c>
      <x:c r="J147" s="41" t="str">
        <x:v>PM2030C-5</x:v>
      </x:c>
      <x:c r="K147" s="41" t="str">
        <x:v>TPU Weight Plate - 5 kg</x:v>
      </x:c>
      <x:c r="L147" s="41" t="str">
        <x:v>Premier</x:v>
      </x:c>
      <x:c r="M147" s="41" t="n">
        <x:v>20</x:v>
      </x:c>
      <x:c r="N147" s="42" t="n">
        <x:v>80</x:v>
      </x:c>
      <x:c r="O147" s="42" t="n">
        <x:f>M147*N147</x:f>
        <x:v>1600</x:v>
      </x:c>
      <x:c r="P147" s="50" t="n">
        <x:v>0.05</x:v>
      </x:c>
      <x:c r="Q147" s="42" t="n">
        <x:f>O147*P147</x:f>
        <x:v>80</x:v>
      </x:c>
      <x:c r="R147" s="42" t="n">
        <x:f>O147+Q147</x:f>
        <x:v>1680</x:v>
      </x:c>
      <x:c r="S147" s="41" t="str">
        <x:v>Brand + premium family locked</x:v>
      </x:c>
      <x:c r="T147" s="41" t="n">
        <x:v>12</x:v>
      </x:c>
      <x:c r="U147" s="41" t="str">
        <x:v>No</x:v>
      </x:c>
      <x:c r="V147" s="41" t="str">
        <x:v>20 pcs each size. One complete family only; never mix plate families.</x:v>
      </x:c>
    </x:row>
    <x:row r="148">
      <x:c r="A148" s="41" t="str">
        <x:v>PREM-400-500</x:v>
      </x:c>
      <x:c r="B148" s="41" t="str">
        <x:v>Premier</x:v>
      </x:c>
      <x:c r="C148" s="41" t="str">
        <x:v>400K-500K</x:v>
      </x:c>
      <x:c r="D148" s="41" t="n">
        <x:v>400000</x:v>
      </x:c>
      <x:c r="E148" s="41" t="n">
        <x:v>500000</x:v>
      </x:c>
      <x:c r="F148" s="41" t="n">
        <x:v>5</x:v>
      </x:c>
      <x:c r="G148" s="41" t="str">
        <x:v>Free Weights</x:v>
      </x:c>
      <x:c r="H148" s="41" t="str">
        <x:v>TPU Weight Plate 10kg</x:v>
      </x:c>
      <x:c r="I148" s="41" t="str">
        <x:v>free_weights_tpu_weight_plate_10kg</x:v>
      </x:c>
      <x:c r="J148" s="41" t="str">
        <x:v>PM2030C-10</x:v>
      </x:c>
      <x:c r="K148" s="41" t="str">
        <x:v>TPU Weight Plate - 10 kg</x:v>
      </x:c>
      <x:c r="L148" s="41" t="str">
        <x:v>Premier</x:v>
      </x:c>
      <x:c r="M148" s="41" t="n">
        <x:v>20</x:v>
      </x:c>
      <x:c r="N148" s="42" t="n">
        <x:v>160</x:v>
      </x:c>
      <x:c r="O148" s="42" t="n">
        <x:f>M148*N148</x:f>
        <x:v>3200</x:v>
      </x:c>
      <x:c r="P148" s="50" t="n">
        <x:v>0.05</x:v>
      </x:c>
      <x:c r="Q148" s="42" t="n">
        <x:f>O148*P148</x:f>
        <x:v>160</x:v>
      </x:c>
      <x:c r="R148" s="42" t="n">
        <x:f>O148+Q148</x:f>
        <x:v>3360</x:v>
      </x:c>
      <x:c r="S148" s="41" t="str">
        <x:v>Brand + premium family locked</x:v>
      </x:c>
      <x:c r="T148" s="41" t="n">
        <x:v>13</x:v>
      </x:c>
      <x:c r="U148" s="41" t="str">
        <x:v>No</x:v>
      </x:c>
      <x:c r="V148" s="41" t="str">
        <x:v>20 pcs each size. One complete family only; never mix plate families.</x:v>
      </x:c>
    </x:row>
    <x:row r="149">
      <x:c r="A149" s="41" t="str">
        <x:v>PREM-400-500</x:v>
      </x:c>
      <x:c r="B149" s="41" t="str">
        <x:v>Premier</x:v>
      </x:c>
      <x:c r="C149" s="41" t="str">
        <x:v>400K-500K</x:v>
      </x:c>
      <x:c r="D149" s="41" t="n">
        <x:v>400000</x:v>
      </x:c>
      <x:c r="E149" s="41" t="n">
        <x:v>500000</x:v>
      </x:c>
      <x:c r="F149" s="41" t="n">
        <x:v>5</x:v>
      </x:c>
      <x:c r="G149" s="41" t="str">
        <x:v>Free Weights</x:v>
      </x:c>
      <x:c r="H149" s="41" t="str">
        <x:v>TPU Weight Plate 20kg</x:v>
      </x:c>
      <x:c r="I149" s="41" t="str">
        <x:v>free_weights_tpu_weight_plate_20kg</x:v>
      </x:c>
      <x:c r="J149" s="41" t="str">
        <x:v>PM2030C-20</x:v>
      </x:c>
      <x:c r="K149" s="41" t="str">
        <x:v>TPU Weight Plate - 20 kg</x:v>
      </x:c>
      <x:c r="L149" s="41" t="str">
        <x:v>Premier</x:v>
      </x:c>
      <x:c r="M149" s="41" t="n">
        <x:v>20</x:v>
      </x:c>
      <x:c r="N149" s="42" t="n">
        <x:v>320</x:v>
      </x:c>
      <x:c r="O149" s="42" t="n">
        <x:f>M149*N149</x:f>
        <x:v>6400</x:v>
      </x:c>
      <x:c r="P149" s="50" t="n">
        <x:v>0.05</x:v>
      </x:c>
      <x:c r="Q149" s="42" t="n">
        <x:f>O149*P149</x:f>
        <x:v>320</x:v>
      </x:c>
      <x:c r="R149" s="42" t="n">
        <x:f>O149+Q149</x:f>
        <x:v>6720</x:v>
      </x:c>
      <x:c r="S149" s="41" t="str">
        <x:v>Brand + premium family locked</x:v>
      </x:c>
      <x:c r="T149" s="41" t="n">
        <x:v>14</x:v>
      </x:c>
      <x:c r="U149" s="41" t="str">
        <x:v>No</x:v>
      </x:c>
      <x:c r="V149" s="41" t="str">
        <x:v>20 pcs each size. One complete family only; never mix plate families.</x:v>
      </x:c>
    </x:row>
    <x:row r="150">
      <x:c r="A150" s="41" t="str">
        <x:v>PREM-400-500</x:v>
      </x:c>
      <x:c r="B150" s="41" t="str">
        <x:v>Premier</x:v>
      </x:c>
      <x:c r="C150" s="41" t="str">
        <x:v>400K-500K</x:v>
      </x:c>
      <x:c r="D150" s="41" t="n">
        <x:v>400000</x:v>
      </x:c>
      <x:c r="E150" s="41" t="n">
        <x:v>500000</x:v>
      </x:c>
      <x:c r="F150" s="41" t="n">
        <x:v>5</x:v>
      </x:c>
      <x:c r="G150" s="41" t="str">
        <x:v>Free Weights</x:v>
      </x:c>
      <x:c r="H150" s="41" t="str">
        <x:v>Barbell Set</x:v>
      </x:c>
      <x:c r="I150" s="41" t="str">
        <x:v>free_weights_barbell_set</x:v>
      </x:c>
      <x:c r="J150" s="41" t="str">
        <x:v>PM3015-250</x:v>
      </x:c>
      <x:c r="K150" s="41" t="str">
        <x:v>Rubber Coated Barbell Set - (250 kg)</x:v>
      </x:c>
      <x:c r="L150" s="41" t="str">
        <x:v>Premier</x:v>
      </x:c>
      <x:c r="M150" s="41" t="n">
        <x:v>1</x:v>
      </x:c>
      <x:c r="N150" s="42" t="n">
        <x:v>3750</x:v>
      </x:c>
      <x:c r="O150" s="42" t="n">
        <x:f>M150*N150</x:f>
        <x:v>3750</x:v>
      </x:c>
      <x:c r="P150" s="50" t="n">
        <x:v>0.05</x:v>
      </x:c>
      <x:c r="Q150" s="42" t="n">
        <x:f>O150*P150</x:f>
        <x:v>187.5</x:v>
      </x:c>
      <x:c r="R150" s="42" t="n">
        <x:f>O150+Q150</x:f>
        <x:v>3937.5</x:v>
      </x:c>
      <x:c r="S150" s="41" t="str">
        <x:v>Complete set</x:v>
      </x:c>
      <x:c r="T150" s="41" t="n">
        <x:v>20</x:v>
      </x:c>
      <x:c r="U150" s="41" t="str">
        <x:v>No</x:v>
      </x:c>
      <x:c r="V150" s="41" t="str">
        <x:v>Complete barbell set; do not generate individual bars.</x:v>
      </x:c>
    </x:row>
    <x:row r="151">
      <x:c r="A151" s="41" t="str">
        <x:v>PREM-400-500</x:v>
      </x:c>
      <x:c r="B151" s="41" t="str">
        <x:v>Premier</x:v>
      </x:c>
      <x:c r="C151" s="41" t="str">
        <x:v>400K-500K</x:v>
      </x:c>
      <x:c r="D151" s="41" t="n">
        <x:v>400000</x:v>
      </x:c>
      <x:c r="E151" s="41" t="n">
        <x:v>500000</x:v>
      </x:c>
      <x:c r="F151" s="41" t="n">
        <x:v>5</x:v>
      </x:c>
      <x:c r="G151" s="41" t="str">
        <x:v>Free Weights</x:v>
      </x:c>
      <x:c r="H151" s="41" t="str">
        <x:v>Barbell Rack</x:v>
      </x:c>
      <x:c r="I151" s="41" t="str">
        <x:v>free_weights_barbell_rack</x:v>
      </x:c>
      <x:c r="J151" s="41" t="str">
        <x:v>PM0041</x:v>
      </x:c>
      <x:c r="K151" s="41" t="str">
        <x:v>Barbell Rack</x:v>
      </x:c>
      <x:c r="L151" s="41" t="str">
        <x:v>Premier</x:v>
      </x:c>
      <x:c r="M151" s="41" t="n">
        <x:v>1</x:v>
      </x:c>
      <x:c r="N151" s="42" t="n">
        <x:v>1200</x:v>
      </x:c>
      <x:c r="O151" s="42" t="n">
        <x:f>M151*N151</x:f>
        <x:v>1200</x:v>
      </x:c>
      <x:c r="P151" s="50" t="n">
        <x:v>0.05</x:v>
      </x:c>
      <x:c r="Q151" s="42" t="n">
        <x:f>O151*P151</x:f>
        <x:v>60</x:v>
      </x:c>
      <x:c r="R151" s="42" t="n">
        <x:f>O151+Q151</x:f>
        <x:v>1260</x:v>
      </x:c>
      <x:c r="S151" s="41" t="str">
        <x:v>1 matching rack per set</x:v>
      </x:c>
      <x:c r="T151" s="41" t="n">
        <x:v>21</x:v>
      </x:c>
      <x:c r="U151" s="41" t="str">
        <x:v>No</x:v>
      </x:c>
      <x:c r="V151" s="41" t="str">
        <x:v>Rack brand follows the gym brand; 1 rack per barbell set.</x:v>
      </x:c>
    </x:row>
    <x:row r="152">
      <x:c r="A152" s="41" t="str">
        <x:v>BURN-350-449</x:v>
      </x:c>
      <x:c r="B152" s="41" t="str">
        <x:v>Burnsport</x:v>
      </x:c>
      <x:c r="C152" s="41" t="str">
        <x:v>350K-449K</x:v>
      </x:c>
      <x:c r="D152" s="41" t="n">
        <x:v>350000</x:v>
      </x:c>
      <x:c r="E152" s="41" t="n">
        <x:v>449999</x:v>
      </x:c>
      <x:c r="F152" s="41" t="n">
        <x:v>1</x:v>
      </x:c>
      <x:c r="G152" s="41" t="str">
        <x:v>Cardio</x:v>
      </x:c>
      <x:c r="H152" s="41" t="str">
        <x:v>Treadmill</x:v>
      </x:c>
      <x:c r="I152" s="41" t="str">
        <x:v>cardio_treadmill</x:v>
      </x:c>
      <x:c r="J152" s="41" t="str">
        <x:v>CD-001</x:v>
      </x:c>
      <x:c r="K152" s="41" t="str">
        <x:v>Commerical Treadmill</x:v>
      </x:c>
      <x:c r="L152" s="41" t="str">
        <x:v>Burnsport</x:v>
      </x:c>
      <x:c r="M152" s="41" t="n">
        <x:v>4</x:v>
      </x:c>
      <x:c r="N152" s="42" t="n">
        <x:v>12500</x:v>
      </x:c>
      <x:c r="O152" s="42" t="n">
        <x:f>M152*N152</x:f>
        <x:v>50000</x:v>
      </x:c>
      <x:c r="P152" s="50" t="n">
        <x:v>0.05</x:v>
      </x:c>
      <x:c r="Q152" s="42" t="n">
        <x:f>O152*P152</x:f>
        <x:v>2500</x:v>
      </x:c>
      <x:c r="R152" s="42" t="n">
        <x:f>O152+Q152</x:f>
        <x:v>52500</x:v>
      </x:c>
      <x:c r="S152" s="41" t="str">
        <x:v>Fixed role; quantity scales by budget</x:v>
      </x:c>
      <x:c r="T152" s="41" t="n">
        <x:v>1</x:v>
      </x:c>
      <x:c r="U152" s="41" t="str">
        <x:v>No</x:v>
      </x:c>
      <x:c r="V152" s="41" t="str"/>
    </x:row>
    <x:row r="153">
      <x:c r="A153" s="41" t="str">
        <x:v>BURN-350-449</x:v>
      </x:c>
      <x:c r="B153" s="41" t="str">
        <x:v>Burnsport</x:v>
      </x:c>
      <x:c r="C153" s="41" t="str">
        <x:v>350K-449K</x:v>
      </x:c>
      <x:c r="D153" s="41" t="n">
        <x:v>350000</x:v>
      </x:c>
      <x:c r="E153" s="41" t="n">
        <x:v>449999</x:v>
      </x:c>
      <x:c r="F153" s="41" t="n">
        <x:v>1</x:v>
      </x:c>
      <x:c r="G153" s="41" t="str">
        <x:v>Cardio</x:v>
      </x:c>
      <x:c r="H153" s="41" t="str">
        <x:v>Cross Trainer</x:v>
      </x:c>
      <x:c r="I153" s="41" t="str">
        <x:v>cardio_cross_trainer</x:v>
      </x:c>
      <x:c r="J153" s="41" t="str">
        <x:v>CD-002</x:v>
      </x:c>
      <x:c r="K153" s="41" t="str">
        <x:v>Elliptical Cross Trainer</x:v>
      </x:c>
      <x:c r="L153" s="41" t="str">
        <x:v>Burnsport</x:v>
      </x:c>
      <x:c r="M153" s="41" t="n">
        <x:v>2</x:v>
      </x:c>
      <x:c r="N153" s="42" t="n">
        <x:v>9000</x:v>
      </x:c>
      <x:c r="O153" s="42" t="n">
        <x:f>M153*N153</x:f>
        <x:v>18000</x:v>
      </x:c>
      <x:c r="P153" s="50" t="n">
        <x:v>0.05</x:v>
      </x:c>
      <x:c r="Q153" s="42" t="n">
        <x:f>O153*P153</x:f>
        <x:v>900</x:v>
      </x:c>
      <x:c r="R153" s="42" t="n">
        <x:f>O153+Q153</x:f>
        <x:v>18900</x:v>
      </x:c>
      <x:c r="S153" s="41" t="str">
        <x:v>Fixed role; quantity scales by budget</x:v>
      </x:c>
      <x:c r="T153" s="41" t="n">
        <x:v>2</x:v>
      </x:c>
      <x:c r="U153" s="41" t="str">
        <x:v>No</x:v>
      </x:c>
      <x:c r="V153" s="41" t="str"/>
    </x:row>
    <x:row r="154">
      <x:c r="A154" s="41" t="str">
        <x:v>BURN-350-449</x:v>
      </x:c>
      <x:c r="B154" s="41" t="str">
        <x:v>Burnsport</x:v>
      </x:c>
      <x:c r="C154" s="41" t="str">
        <x:v>350K-449K</x:v>
      </x:c>
      <x:c r="D154" s="41" t="n">
        <x:v>350000</x:v>
      </x:c>
      <x:c r="E154" s="41" t="n">
        <x:v>449999</x:v>
      </x:c>
      <x:c r="F154" s="41" t="n">
        <x:v>1</x:v>
      </x:c>
      <x:c r="G154" s="41" t="str">
        <x:v>Cardio</x:v>
      </x:c>
      <x:c r="H154" s="41" t="str">
        <x:v>Upright Bike</x:v>
      </x:c>
      <x:c r="I154" s="41" t="str">
        <x:v>cardio_upright_bike</x:v>
      </x:c>
      <x:c r="J154" s="41" t="str">
        <x:v>CD-005</x:v>
      </x:c>
      <x:c r="K154" s="41" t="str">
        <x:v>Upright Bike</x:v>
      </x:c>
      <x:c r="L154" s="41" t="str">
        <x:v>Burnsport</x:v>
      </x:c>
      <x:c r="M154" s="41" t="n">
        <x:v>1</x:v>
      </x:c>
      <x:c r="N154" s="42" t="n">
        <x:v>6250</x:v>
      </x:c>
      <x:c r="O154" s="42" t="n">
        <x:f>M154*N154</x:f>
        <x:v>6250</x:v>
      </x:c>
      <x:c r="P154" s="50" t="n">
        <x:v>0.05</x:v>
      </x:c>
      <x:c r="Q154" s="42" t="n">
        <x:f>O154*P154</x:f>
        <x:v>312.5</x:v>
      </x:c>
      <x:c r="R154" s="42" t="n">
        <x:f>O154+Q154</x:f>
        <x:v>6562.5</x:v>
      </x:c>
      <x:c r="S154" s="41" t="str">
        <x:v>Fixed role; quantity scales by budget</x:v>
      </x:c>
      <x:c r="T154" s="41" t="n">
        <x:v>3</x:v>
      </x:c>
      <x:c r="U154" s="41" t="str">
        <x:v>No</x:v>
      </x:c>
      <x:c r="V154" s="41" t="str"/>
    </x:row>
    <x:row r="155">
      <x:c r="A155" s="41" t="str">
        <x:v>BURN-350-449</x:v>
      </x:c>
      <x:c r="B155" s="41" t="str">
        <x:v>Burnsport</x:v>
      </x:c>
      <x:c r="C155" s="41" t="str">
        <x:v>350K-449K</x:v>
      </x:c>
      <x:c r="D155" s="41" t="n">
        <x:v>350000</x:v>
      </x:c>
      <x:c r="E155" s="41" t="n">
        <x:v>449999</x:v>
      </x:c>
      <x:c r="F155" s="41" t="n">
        <x:v>1</x:v>
      </x:c>
      <x:c r="G155" s="41" t="str">
        <x:v>Cardio</x:v>
      </x:c>
      <x:c r="H155" s="41" t="str">
        <x:v>Recumbent Bike</x:v>
      </x:c>
      <x:c r="I155" s="41" t="str">
        <x:v>cardio_recumbent_bike</x:v>
      </x:c>
      <x:c r="J155" s="41" t="str">
        <x:v>CD-004</x:v>
      </x:c>
      <x:c r="K155" s="41" t="str">
        <x:v>Recumbent Bike</x:v>
      </x:c>
      <x:c r="L155" s="41" t="str">
        <x:v>Burnsport</x:v>
      </x:c>
      <x:c r="M155" s="41" t="n">
        <x:v>1</x:v>
      </x:c>
      <x:c r="N155" s="42" t="n">
        <x:v>6500</x:v>
      </x:c>
      <x:c r="O155" s="42" t="n">
        <x:f>M155*N155</x:f>
        <x:v>6500</x:v>
      </x:c>
      <x:c r="P155" s="50" t="n">
        <x:v>0.05</x:v>
      </x:c>
      <x:c r="Q155" s="42" t="n">
        <x:f>O155*P155</x:f>
        <x:v>325</x:v>
      </x:c>
      <x:c r="R155" s="42" t="n">
        <x:f>O155+Q155</x:f>
        <x:v>6825</x:v>
      </x:c>
      <x:c r="S155" s="41" t="str">
        <x:v>Fixed role; quantity scales by budget</x:v>
      </x:c>
      <x:c r="T155" s="41" t="n">
        <x:v>4</x:v>
      </x:c>
      <x:c r="U155" s="41" t="str">
        <x:v>No</x:v>
      </x:c>
      <x:c r="V155" s="41" t="str"/>
    </x:row>
    <x:row r="156">
      <x:c r="A156" s="41" t="str">
        <x:v>BURN-350-449</x:v>
      </x:c>
      <x:c r="B156" s="41" t="str">
        <x:v>Burnsport</x:v>
      </x:c>
      <x:c r="C156" s="41" t="str">
        <x:v>350K-449K</x:v>
      </x:c>
      <x:c r="D156" s="41" t="n">
        <x:v>350000</x:v>
      </x:c>
      <x:c r="E156" s="41" t="n">
        <x:v>449999</x:v>
      </x:c>
      <x:c r="F156" s="41" t="n">
        <x:v>1</x:v>
      </x:c>
      <x:c r="G156" s="41" t="str">
        <x:v>Cardio</x:v>
      </x:c>
      <x:c r="H156" s="41" t="str">
        <x:v>Spinning Bike</x:v>
      </x:c>
      <x:c r="I156" s="41" t="str">
        <x:v>cardio_spinning_bike</x:v>
      </x:c>
      <x:c r="J156" s="41" t="str">
        <x:v>CD-006</x:v>
      </x:c>
      <x:c r="K156" s="41" t="str">
        <x:v>Spinning Bike</x:v>
      </x:c>
      <x:c r="L156" s="41" t="str">
        <x:v>Burnsport</x:v>
      </x:c>
      <x:c r="M156" s="41" t="n">
        <x:v>2</x:v>
      </x:c>
      <x:c r="N156" s="42" t="n">
        <x:v>3500</x:v>
      </x:c>
      <x:c r="O156" s="42" t="n">
        <x:f>M156*N156</x:f>
        <x:v>7000</x:v>
      </x:c>
      <x:c r="P156" s="50" t="n">
        <x:v>0.05</x:v>
      </x:c>
      <x:c r="Q156" s="42" t="n">
        <x:f>O156*P156</x:f>
        <x:v>350</x:v>
      </x:c>
      <x:c r="R156" s="42" t="n">
        <x:f>O156+Q156</x:f>
        <x:v>7350</x:v>
      </x:c>
      <x:c r="S156" s="41" t="str">
        <x:v>Fixed role; quantity scales by budget</x:v>
      </x:c>
      <x:c r="T156" s="41" t="n">
        <x:v>5</x:v>
      </x:c>
      <x:c r="U156" s="41" t="str">
        <x:v>No</x:v>
      </x:c>
      <x:c r="V156" s="41" t="str"/>
    </x:row>
    <x:row r="157">
      <x:c r="A157" s="41" t="str">
        <x:v>BURN-350-449</x:v>
      </x:c>
      <x:c r="B157" s="41" t="str">
        <x:v>Burnsport</x:v>
      </x:c>
      <x:c r="C157" s="41" t="str">
        <x:v>350K-449K</x:v>
      </x:c>
      <x:c r="D157" s="41" t="n">
        <x:v>350000</x:v>
      </x:c>
      <x:c r="E157" s="41" t="n">
        <x:v>449999</x:v>
      </x:c>
      <x:c r="F157" s="41" t="n">
        <x:v>1</x:v>
      </x:c>
      <x:c r="G157" s="41" t="str">
        <x:v>Cardio</x:v>
      </x:c>
      <x:c r="H157" s="41" t="str">
        <x:v>Stair Master</x:v>
      </x:c>
      <x:c r="I157" s="41" t="str">
        <x:v>cardio_stair_master</x:v>
      </x:c>
      <x:c r="J157" s="41" t="str">
        <x:v>PR159</x:v>
      </x:c>
      <x:c r="K157" s="41" t="str">
        <x:v>Stair Master</x:v>
      </x:c>
      <x:c r="L157" s="41" t="str">
        <x:v>Premier</x:v>
      </x:c>
      <x:c r="M157" s="41" t="n">
        <x:v>1</x:v>
      </x:c>
      <x:c r="N157" s="42" t="n">
        <x:v>9500</x:v>
      </x:c>
      <x:c r="O157" s="42" t="n">
        <x:f>M157*N157</x:f>
        <x:v>9500</x:v>
      </x:c>
      <x:c r="P157" s="50" t="n">
        <x:v>0.05</x:v>
      </x:c>
      <x:c r="Q157" s="42" t="n">
        <x:f>O157*P157</x:f>
        <x:v>475</x:v>
      </x:c>
      <x:c r="R157" s="42" t="n">
        <x:f>O157+Q157</x:f>
        <x:v>9975</x:v>
      </x:c>
      <x:c r="S157" s="41" t="str">
        <x:v>Fixed role; quantity scales by budget</x:v>
      </x:c>
      <x:c r="T157" s="41" t="n">
        <x:v>6</x:v>
      </x:c>
      <x:c r="U157" s="41" t="str">
        <x:v>Yes</x:v>
      </x:c>
      <x:c r="V157" s="41" t="str">
        <x:v>Burnsport stair master is not present in the uploaded source; Premier PR159 is the current fallback.</x:v>
      </x:c>
    </x:row>
    <x:row r="158">
      <x:c r="A158" s="41" t="str">
        <x:v>BURN-350-449</x:v>
      </x:c>
      <x:c r="B158" s="41" t="str">
        <x:v>Burnsport</x:v>
      </x:c>
      <x:c r="C158" s="41" t="str">
        <x:v>350K-449K</x:v>
      </x:c>
      <x:c r="D158" s="41" t="n">
        <x:v>350000</x:v>
      </x:c>
      <x:c r="E158" s="41" t="n">
        <x:v>449999</x:v>
      </x:c>
      <x:c r="F158" s="41" t="n">
        <x:v>1</x:v>
      </x:c>
      <x:c r="G158" s="41" t="str">
        <x:v>Cardio</x:v>
      </x:c>
      <x:c r="H158" s="41" t="str">
        <x:v>Rower</x:v>
      </x:c>
      <x:c r="I158" s="41" t="str">
        <x:v>cardio_rower</x:v>
      </x:c>
      <x:c r="J158" s="41" t="str">
        <x:v>CD-007</x:v>
      </x:c>
      <x:c r="K158" s="41" t="str">
        <x:v>Air Rowing Machine</x:v>
      </x:c>
      <x:c r="L158" s="41" t="str">
        <x:v>Burnsport</x:v>
      </x:c>
      <x:c r="M158" s="41" t="n">
        <x:v>1</x:v>
      </x:c>
      <x:c r="N158" s="42" t="n">
        <x:v>4000</x:v>
      </x:c>
      <x:c r="O158" s="42" t="n">
        <x:f>M158*N158</x:f>
        <x:v>4000</x:v>
      </x:c>
      <x:c r="P158" s="50" t="n">
        <x:v>0.05</x:v>
      </x:c>
      <x:c r="Q158" s="42" t="n">
        <x:f>O158*P158</x:f>
        <x:v>200</x:v>
      </x:c>
      <x:c r="R158" s="42" t="n">
        <x:f>O158+Q158</x:f>
        <x:v>4200</x:v>
      </x:c>
      <x:c r="S158" s="41" t="str">
        <x:v>Fixed role; quantity scales by budget</x:v>
      </x:c>
      <x:c r="T158" s="41" t="n">
        <x:v>7</x:v>
      </x:c>
      <x:c r="U158" s="41" t="str">
        <x:v>No</x:v>
      </x:c>
      <x:c r="V158" s="41" t="str"/>
    </x:row>
    <x:row r="159">
      <x:c r="A159" s="41" t="str">
        <x:v>BURN-350-449</x:v>
      </x:c>
      <x:c r="B159" s="41" t="str">
        <x:v>Burnsport</x:v>
      </x:c>
      <x:c r="C159" s="41" t="str">
        <x:v>350K-449K</x:v>
      </x:c>
      <x:c r="D159" s="41" t="n">
        <x:v>350000</x:v>
      </x:c>
      <x:c r="E159" s="41" t="n">
        <x:v>449999</x:v>
      </x:c>
      <x:c r="F159" s="41" t="n">
        <x:v>2</x:v>
      </x:c>
      <x:c r="G159" s="41" t="str">
        <x:v>Functional / Multi</x:v>
      </x:c>
      <x:c r="H159" s="41" t="str">
        <x:v>Smith Machine</x:v>
      </x:c>
      <x:c r="I159" s="41" t="str">
        <x:v>functional_multi_smith_machine</x:v>
      </x:c>
      <x:c r="J159" s="41" t="str">
        <x:v>PNT-1012</x:v>
      </x:c>
      <x:c r="K159" s="41" t="str">
        <x:v>Power Smith Machine Dual System</x:v>
      </x:c>
      <x:c r="L159" s="41" t="str">
        <x:v>Burnsport</x:v>
      </x:c>
      <x:c r="M159" s="41" t="n">
        <x:v>1</x:v>
      </x:c>
      <x:c r="N159" s="42" t="n">
        <x:v>12742</x:v>
      </x:c>
      <x:c r="O159" s="42" t="n">
        <x:f>M159*N159</x:f>
        <x:v>12742</x:v>
      </x:c>
      <x:c r="P159" s="50" t="n">
        <x:v>0.05</x:v>
      </x:c>
      <x:c r="Q159" s="42" t="n">
        <x:f>O159*P159</x:f>
        <x:v>637.1</x:v>
      </x:c>
      <x:c r="R159" s="42" t="n">
        <x:f>O159+Q159</x:f>
        <x:v>13379.1</x:v>
      </x:c>
      <x:c r="S159" s="41" t="str">
        <x:v>Mandatory exactly 1</x:v>
      </x:c>
      <x:c r="T159" s="41" t="n">
        <x:v>1</x:v>
      </x:c>
      <x:c r="U159" s="41" t="str">
        <x:v>No</x:v>
      </x:c>
      <x:c r="V159" s="41" t="str">
        <x:v>Smith is mandatory in every full-gym profile.</x:v>
      </x:c>
    </x:row>
    <x:row r="160">
      <x:c r="A160" s="41" t="str">
        <x:v>BURN-350-449</x:v>
      </x:c>
      <x:c r="B160" s="41" t="str">
        <x:v>Burnsport</x:v>
      </x:c>
      <x:c r="C160" s="41" t="str">
        <x:v>350K-449K</x:v>
      </x:c>
      <x:c r="D160" s="41" t="n">
        <x:v>350000</x:v>
      </x:c>
      <x:c r="E160" s="41" t="n">
        <x:v>449999</x:v>
      </x:c>
      <x:c r="F160" s="41" t="n">
        <x:v>2</x:v>
      </x:c>
      <x:c r="G160" s="41" t="str">
        <x:v>Functional / Multi</x:v>
      </x:c>
      <x:c r="H160" s="41" t="str">
        <x:v>Functional Trainer</x:v>
      </x:c>
      <x:c r="I160" s="41" t="str">
        <x:v>functional_multi_functional_trainer</x:v>
      </x:c>
      <x:c r="J160" s="41" t="str">
        <x:v>LJ-5002</x:v>
      </x:c>
      <x:c r="K160" s="41" t="str">
        <x:v>Adjustable Crossover</x:v>
      </x:c>
      <x:c r="L160" s="41" t="str">
        <x:v>Burnsport</x:v>
      </x:c>
      <x:c r="M160" s="41" t="n">
        <x:v>1</x:v>
      </x:c>
      <x:c r="N160" s="42" t="n">
        <x:v>21141.6</x:v>
      </x:c>
      <x:c r="O160" s="42" t="n">
        <x:f>M160*N160</x:f>
        <x:v>21141.6</x:v>
      </x:c>
      <x:c r="P160" s="50" t="n">
        <x:v>0.05</x:v>
      </x:c>
      <x:c r="Q160" s="42" t="n">
        <x:f>O160*P160</x:f>
        <x:v>1057.08</x:v>
      </x:c>
      <x:c r="R160" s="42" t="n">
        <x:f>O160+Q160</x:f>
        <x:v>22198.68</x:v>
      </x:c>
      <x:c r="S160" s="41" t="str">
        <x:v>Mandatory exactly 1</x:v>
      </x:c>
      <x:c r="T160" s="41" t="n">
        <x:v>2</x:v>
      </x:c>
      <x:c r="U160" s="41" t="str">
        <x:v>No</x:v>
      </x:c>
      <x:c r="V160" s="41" t="str">
        <x:v>Functional Trainer is exactly 1.</x:v>
      </x:c>
    </x:row>
    <x:row r="161">
      <x:c r="A161" s="41" t="str">
        <x:v>BURN-350-449</x:v>
      </x:c>
      <x:c r="B161" s="41" t="str">
        <x:v>Burnsport</x:v>
      </x:c>
      <x:c r="C161" s="41" t="str">
        <x:v>350K-449K</x:v>
      </x:c>
      <x:c r="D161" s="41" t="n">
        <x:v>350000</x:v>
      </x:c>
      <x:c r="E161" s="41" t="n">
        <x:v>449999</x:v>
      </x:c>
      <x:c r="F161" s="41" t="n">
        <x:v>2</x:v>
      </x:c>
      <x:c r="G161" s="41" t="str">
        <x:v>Functional / Multi</x:v>
      </x:c>
      <x:c r="H161" s="41" t="str">
        <x:v>4 Station</x:v>
      </x:c>
      <x:c r="I161" s="41" t="str">
        <x:v>functional_multi_4_station</x:v>
      </x:c>
      <x:c r="J161" s="41" t="str">
        <x:v>LJ-5005</x:v>
      </x:c>
      <x:c r="K161" s="41" t="str">
        <x:v>Multi-jungle 4 Station</x:v>
      </x:c>
      <x:c r="L161" s="41" t="str">
        <x:v>Burnsport</x:v>
      </x:c>
      <x:c r="M161" s="41" t="n">
        <x:v>1</x:v>
      </x:c>
      <x:c r="N161" s="42" t="n">
        <x:v>27250.4</x:v>
      </x:c>
      <x:c r="O161" s="42" t="n">
        <x:f>M161*N161</x:f>
        <x:v>27250.4</x:v>
      </x:c>
      <x:c r="P161" s="50" t="n">
        <x:v>0.05</x:v>
      </x:c>
      <x:c r="Q161" s="42" t="n">
        <x:f>O161*P161</x:f>
        <x:v>1362.5200000000002</x:v>
      </x:c>
      <x:c r="R161" s="42" t="n">
        <x:f>O161+Q161</x:f>
        <x:v>28612.920000000002</x:v>
      </x:c>
      <x:c r="S161" s="41" t="str">
        <x:v>Budget-tier replacement</x:v>
      </x:c>
      <x:c r="T161" s="41" t="n">
        <x:v>3</x:v>
      </x:c>
      <x:c r="U161" s="41" t="str">
        <x:v>No</x:v>
      </x:c>
      <x:c r="V161" s="41" t="str">
        <x:v>Only 4 / 5 / 8 station are allowed; never combine station sizes.</x:v>
      </x:c>
    </x:row>
    <x:row r="162">
      <x:c r="A162" s="41" t="str">
        <x:v>BURN-350-449</x:v>
      </x:c>
      <x:c r="B162" s="41" t="str">
        <x:v>Burnsport</x:v>
      </x:c>
      <x:c r="C162" s="41" t="str">
        <x:v>350K-449K</x:v>
      </x:c>
      <x:c r="D162" s="41" t="n">
        <x:v>350000</x:v>
      </x:c>
      <x:c r="E162" s="41" t="n">
        <x:v>449999</x:v>
      </x:c>
      <x:c r="F162" s="41" t="n">
        <x:v>3</x:v>
      </x:c>
      <x:c r="G162" s="41" t="str">
        <x:v>Strength</x:v>
      </x:c>
      <x:c r="H162" s="41" t="str">
        <x:v>Chest</x:v>
      </x:c>
      <x:c r="I162" s="41" t="str">
        <x:v>strength_chest</x:v>
      </x:c>
      <x:c r="J162" s="41" t="str">
        <x:v>PRM-1005G</x:v>
      </x:c>
      <x:c r="K162" s="41" t="str">
        <x:v>Chest Press (PRM-1005G)</x:v>
      </x:c>
      <x:c r="L162" s="41" t="str">
        <x:v>Burnsport</x:v>
      </x:c>
      <x:c r="M162" s="41" t="n">
        <x:v>1</x:v>
      </x:c>
      <x:c r="N162" s="42" t="n">
        <x:v>11776</x:v>
      </x:c>
      <x:c r="O162" s="42" t="n">
        <x:f>M162*N162</x:f>
        <x:v>11776</x:v>
      </x:c>
      <x:c r="P162" s="50" t="n">
        <x:v>0.05</x:v>
      </x:c>
      <x:c r="Q162" s="42" t="n">
        <x:f>O162*P162</x:f>
        <x:v>588.8000000000001</x:v>
      </x:c>
      <x:c r="R162" s="42" t="n">
        <x:f>O162+Q162</x:f>
        <x:v>12364.8</x:v>
      </x:c>
      <x:c r="S162" s="41" t="str">
        <x:v>Burnsport default movement</x:v>
      </x:c>
      <x:c r="T162" s="41" t="n">
        <x:v>1</x:v>
      </x:c>
      <x:c r="U162" s="41" t="str">
        <x:v>No</x:v>
      </x:c>
      <x:c r="V162" s="41" t="str">
        <x:v>Use this movement priority; avoid duplicate movement filler.</x:v>
      </x:c>
    </x:row>
    <x:row r="163">
      <x:c r="A163" s="41" t="str">
        <x:v>BURN-350-449</x:v>
      </x:c>
      <x:c r="B163" s="41" t="str">
        <x:v>Burnsport</x:v>
      </x:c>
      <x:c r="C163" s="41" t="str">
        <x:v>350K-449K</x:v>
      </x:c>
      <x:c r="D163" s="41" t="n">
        <x:v>350000</x:v>
      </x:c>
      <x:c r="E163" s="41" t="n">
        <x:v>449999</x:v>
      </x:c>
      <x:c r="F163" s="41" t="n">
        <x:v>3</x:v>
      </x:c>
      <x:c r="G163" s="41" t="str">
        <x:v>Strength</x:v>
      </x:c>
      <x:c r="H163" s="41" t="str">
        <x:v>Chest</x:v>
      </x:c>
      <x:c r="I163" s="41" t="str">
        <x:v>strength_chest</x:v>
      </x:c>
      <x:c r="J163" s="41" t="str">
        <x:v>PRM-1002</x:v>
      </x:c>
      <x:c r="K163" s="41" t="str">
        <x:v>Incline Press Press Plate</x:v>
      </x:c>
      <x:c r="L163" s="41" t="str">
        <x:v>Burnsport</x:v>
      </x:c>
      <x:c r="M163" s="41" t="n">
        <x:v>1</x:v>
      </x:c>
      <x:c r="N163" s="42" t="n">
        <x:v>11776</x:v>
      </x:c>
      <x:c r="O163" s="42" t="n">
        <x:f>M163*N163</x:f>
        <x:v>11776</x:v>
      </x:c>
      <x:c r="P163" s="50" t="n">
        <x:v>0.05</x:v>
      </x:c>
      <x:c r="Q163" s="42" t="n">
        <x:f>O163*P163</x:f>
        <x:v>588.8000000000001</x:v>
      </x:c>
      <x:c r="R163" s="42" t="n">
        <x:f>O163+Q163</x:f>
        <x:v>12364.8</x:v>
      </x:c>
      <x:c r="S163" s="41" t="str">
        <x:v>Burnsport default movement</x:v>
      </x:c>
      <x:c r="T163" s="41" t="n">
        <x:v>2</x:v>
      </x:c>
      <x:c r="U163" s="41" t="str">
        <x:v>No</x:v>
      </x:c>
      <x:c r="V163" s="41" t="str">
        <x:v>Use this movement priority; avoid duplicate movement filler.</x:v>
      </x:c>
    </x:row>
    <x:row r="164">
      <x:c r="A164" s="41" t="str">
        <x:v>BURN-350-449</x:v>
      </x:c>
      <x:c r="B164" s="41" t="str">
        <x:v>Burnsport</x:v>
      </x:c>
      <x:c r="C164" s="41" t="str">
        <x:v>350K-449K</x:v>
      </x:c>
      <x:c r="D164" s="41" t="n">
        <x:v>350000</x:v>
      </x:c>
      <x:c r="E164" s="41" t="n">
        <x:v>449999</x:v>
      </x:c>
      <x:c r="F164" s="41" t="n">
        <x:v>3</x:v>
      </x:c>
      <x:c r="G164" s="41" t="str">
        <x:v>Strength</x:v>
      </x:c>
      <x:c r="H164" s="41" t="str">
        <x:v>Shoulder</x:v>
      </x:c>
      <x:c r="I164" s="41" t="str">
        <x:v>strength_shoulder</x:v>
      </x:c>
      <x:c r="J164" s="41" t="str">
        <x:v>PRM-1004G</x:v>
      </x:c>
      <x:c r="K164" s="41" t="str">
        <x:v>Shoulder Press (PRM-1004G)</x:v>
      </x:c>
      <x:c r="L164" s="41" t="str">
        <x:v>Burnsport</x:v>
      </x:c>
      <x:c r="M164" s="41" t="n">
        <x:v>1</x:v>
      </x:c>
      <x:c r="N164" s="42" t="n">
        <x:v>11776</x:v>
      </x:c>
      <x:c r="O164" s="42" t="n">
        <x:f>M164*N164</x:f>
        <x:v>11776</x:v>
      </x:c>
      <x:c r="P164" s="50" t="n">
        <x:v>0.05</x:v>
      </x:c>
      <x:c r="Q164" s="42" t="n">
        <x:f>O164*P164</x:f>
        <x:v>588.8000000000001</x:v>
      </x:c>
      <x:c r="R164" s="42" t="n">
        <x:f>O164+Q164</x:f>
        <x:v>12364.8</x:v>
      </x:c>
      <x:c r="S164" s="41" t="str">
        <x:v>Burnsport default movement</x:v>
      </x:c>
      <x:c r="T164" s="41" t="n">
        <x:v>1</x:v>
      </x:c>
      <x:c r="U164" s="41" t="str">
        <x:v>No</x:v>
      </x:c>
      <x:c r="V164" s="41" t="str">
        <x:v>Use this movement priority; avoid duplicate movement filler.</x:v>
      </x:c>
    </x:row>
    <x:row r="165">
      <x:c r="A165" s="41" t="str">
        <x:v>BURN-350-449</x:v>
      </x:c>
      <x:c r="B165" s="41" t="str">
        <x:v>Burnsport</x:v>
      </x:c>
      <x:c r="C165" s="41" t="str">
        <x:v>350K-449K</x:v>
      </x:c>
      <x:c r="D165" s="41" t="n">
        <x:v>350000</x:v>
      </x:c>
      <x:c r="E165" s="41" t="n">
        <x:v>449999</x:v>
      </x:c>
      <x:c r="F165" s="41" t="n">
        <x:v>3</x:v>
      </x:c>
      <x:c r="G165" s="41" t="str">
        <x:v>Strength</x:v>
      </x:c>
      <x:c r="H165" s="41" t="str">
        <x:v>Shoulder</x:v>
      </x:c>
      <x:c r="I165" s="41" t="str">
        <x:v>strength_shoulder</x:v>
      </x:c>
      <x:c r="J165" s="41" t="str">
        <x:v>HM-3014</x:v>
      </x:c>
      <x:c r="K165" s="41" t="str">
        <x:v>Seated Lateral Raise</x:v>
      </x:c>
      <x:c r="L165" s="41" t="str">
        <x:v>Burnsport</x:v>
      </x:c>
      <x:c r="M165" s="41" t="n">
        <x:v>1</x:v>
      </x:c>
      <x:c r="N165" s="42" t="n">
        <x:v>14536</x:v>
      </x:c>
      <x:c r="O165" s="42" t="n">
        <x:f>M165*N165</x:f>
        <x:v>14536</x:v>
      </x:c>
      <x:c r="P165" s="50" t="n">
        <x:v>0.05</x:v>
      </x:c>
      <x:c r="Q165" s="42" t="n">
        <x:f>O165*P165</x:f>
        <x:v>726.8000000000001</x:v>
      </x:c>
      <x:c r="R165" s="42" t="n">
        <x:f>O165+Q165</x:f>
        <x:v>15262.8</x:v>
      </x:c>
      <x:c r="S165" s="41" t="str">
        <x:v>Burnsport default movement</x:v>
      </x:c>
      <x:c r="T165" s="41" t="n">
        <x:v>2</x:v>
      </x:c>
      <x:c r="U165" s="41" t="str">
        <x:v>No</x:v>
      </x:c>
      <x:c r="V165" s="41" t="str">
        <x:v>Use this movement priority; avoid duplicate movement filler.</x:v>
      </x:c>
    </x:row>
    <x:row r="166">
      <x:c r="A166" s="41" t="str">
        <x:v>BURN-350-449</x:v>
      </x:c>
      <x:c r="B166" s="41" t="str">
        <x:v>Burnsport</x:v>
      </x:c>
      <x:c r="C166" s="41" t="str">
        <x:v>350K-449K</x:v>
      </x:c>
      <x:c r="D166" s="41" t="n">
        <x:v>350000</x:v>
      </x:c>
      <x:c r="E166" s="41" t="n">
        <x:v>449999</x:v>
      </x:c>
      <x:c r="F166" s="41" t="n">
        <x:v>3</x:v>
      </x:c>
      <x:c r="G166" s="41" t="str">
        <x:v>Strength</x:v>
      </x:c>
      <x:c r="H166" s="41" t="str">
        <x:v>Back</x:v>
      </x:c>
      <x:c r="I166" s="41" t="str">
        <x:v>strength_back</x:v>
      </x:c>
      <x:c r="J166" s="41" t="str">
        <x:v>PRM-1007G</x:v>
      </x:c>
      <x:c r="K166" s="41" t="str">
        <x:v>Lat Pulldown (PRM-1007G)</x:v>
      </x:c>
      <x:c r="L166" s="41" t="str">
        <x:v>Burnsport</x:v>
      </x:c>
      <x:c r="M166" s="41" t="n">
        <x:v>1</x:v>
      </x:c>
      <x:c r="N166" s="42" t="n">
        <x:v>11776</x:v>
      </x:c>
      <x:c r="O166" s="42" t="n">
        <x:f>M166*N166</x:f>
        <x:v>11776</x:v>
      </x:c>
      <x:c r="P166" s="50" t="n">
        <x:v>0.05</x:v>
      </x:c>
      <x:c r="Q166" s="42" t="n">
        <x:f>O166*P166</x:f>
        <x:v>588.8000000000001</x:v>
      </x:c>
      <x:c r="R166" s="42" t="n">
        <x:f>O166+Q166</x:f>
        <x:v>12364.8</x:v>
      </x:c>
      <x:c r="S166" s="41" t="str">
        <x:v>Burnsport default movement</x:v>
      </x:c>
      <x:c r="T166" s="41" t="n">
        <x:v>1</x:v>
      </x:c>
      <x:c r="U166" s="41" t="str">
        <x:v>No</x:v>
      </x:c>
      <x:c r="V166" s="41" t="str">
        <x:v>Use this movement priority; avoid duplicate movement filler.</x:v>
      </x:c>
    </x:row>
    <x:row r="167">
      <x:c r="A167" s="41" t="str">
        <x:v>BURN-350-449</x:v>
      </x:c>
      <x:c r="B167" s="41" t="str">
        <x:v>Burnsport</x:v>
      </x:c>
      <x:c r="C167" s="41" t="str">
        <x:v>350K-449K</x:v>
      </x:c>
      <x:c r="D167" s="41" t="n">
        <x:v>350000</x:v>
      </x:c>
      <x:c r="E167" s="41" t="n">
        <x:v>449999</x:v>
      </x:c>
      <x:c r="F167" s="41" t="n">
        <x:v>3</x:v>
      </x:c>
      <x:c r="G167" s="41" t="str">
        <x:v>Strength</x:v>
      </x:c>
      <x:c r="H167" s="41" t="str">
        <x:v>Back</x:v>
      </x:c>
      <x:c r="I167" s="41" t="str">
        <x:v>strength_back</x:v>
      </x:c>
      <x:c r="J167" s="41" t="str">
        <x:v>PRM-1008G</x:v>
      </x:c>
      <x:c r="K167" s="41" t="str">
        <x:v>Seated Row</x:v>
      </x:c>
      <x:c r="L167" s="41" t="str">
        <x:v>Burnsport</x:v>
      </x:c>
      <x:c r="M167" s="41" t="n">
        <x:v>1</x:v>
      </x:c>
      <x:c r="N167" s="42" t="n">
        <x:v>10672</x:v>
      </x:c>
      <x:c r="O167" s="42" t="n">
        <x:f>M167*N167</x:f>
        <x:v>10672</x:v>
      </x:c>
      <x:c r="P167" s="50" t="n">
        <x:v>0.05</x:v>
      </x:c>
      <x:c r="Q167" s="42" t="n">
        <x:f>O167*P167</x:f>
        <x:v>533.6</x:v>
      </x:c>
      <x:c r="R167" s="42" t="n">
        <x:f>O167+Q167</x:f>
        <x:v>11205.6</x:v>
      </x:c>
      <x:c r="S167" s="41" t="str">
        <x:v>Burnsport default movement</x:v>
      </x:c>
      <x:c r="T167" s="41" t="n">
        <x:v>2</x:v>
      </x:c>
      <x:c r="U167" s="41" t="str">
        <x:v>No</x:v>
      </x:c>
      <x:c r="V167" s="41" t="str">
        <x:v>Use this movement priority; avoid duplicate movement filler.</x:v>
      </x:c>
    </x:row>
    <x:row r="168">
      <x:c r="A168" s="41" t="str">
        <x:v>BURN-350-449</x:v>
      </x:c>
      <x:c r="B168" s="41" t="str">
        <x:v>Burnsport</x:v>
      </x:c>
      <x:c r="C168" s="41" t="str">
        <x:v>350K-449K</x:v>
      </x:c>
      <x:c r="D168" s="41" t="n">
        <x:v>350000</x:v>
      </x:c>
      <x:c r="E168" s="41" t="n">
        <x:v>449999</x:v>
      </x:c>
      <x:c r="F168" s="41" t="n">
        <x:v>3</x:v>
      </x:c>
      <x:c r="G168" s="41" t="str">
        <x:v>Strength</x:v>
      </x:c>
      <x:c r="H168" s="41" t="str">
        <x:v>Back</x:v>
      </x:c>
      <x:c r="I168" s="41" t="str">
        <x:v>strength_back</x:v>
      </x:c>
      <x:c r="J168" s="41" t="str">
        <x:v>HM-1014</x:v>
      </x:c>
      <x:c r="K168" s="41" t="str">
        <x:v>Iso-lateral Low Row</x:v>
      </x:c>
      <x:c r="L168" s="41" t="str">
        <x:v>Burnsport</x:v>
      </x:c>
      <x:c r="M168" s="41" t="n">
        <x:v>1</x:v>
      </x:c>
      <x:c r="N168" s="42" t="n">
        <x:v>10856</x:v>
      </x:c>
      <x:c r="O168" s="42" t="n">
        <x:f>M168*N168</x:f>
        <x:v>10856</x:v>
      </x:c>
      <x:c r="P168" s="50" t="n">
        <x:v>0.05</x:v>
      </x:c>
      <x:c r="Q168" s="42" t="n">
        <x:f>O168*P168</x:f>
        <x:v>542.8000000000001</x:v>
      </x:c>
      <x:c r="R168" s="42" t="n">
        <x:f>O168+Q168</x:f>
        <x:v>11398.8</x:v>
      </x:c>
      <x:c r="S168" s="41" t="str">
        <x:v>Burnsport default movement</x:v>
      </x:c>
      <x:c r="T168" s="41" t="n">
        <x:v>3</x:v>
      </x:c>
      <x:c r="U168" s="41" t="str">
        <x:v>No</x:v>
      </x:c>
      <x:c r="V168" s="41" t="str">
        <x:v>Use this movement priority; avoid duplicate movement filler.</x:v>
      </x:c>
    </x:row>
    <x:row r="169">
      <x:c r="A169" s="41" t="str">
        <x:v>BURN-350-449</x:v>
      </x:c>
      <x:c r="B169" s="41" t="str">
        <x:v>Burnsport</x:v>
      </x:c>
      <x:c r="C169" s="41" t="str">
        <x:v>350K-449K</x:v>
      </x:c>
      <x:c r="D169" s="41" t="n">
        <x:v>350000</x:v>
      </x:c>
      <x:c r="E169" s="41" t="n">
        <x:v>449999</x:v>
      </x:c>
      <x:c r="F169" s="41" t="n">
        <x:v>3</x:v>
      </x:c>
      <x:c r="G169" s="41" t="str">
        <x:v>Strength</x:v>
      </x:c>
      <x:c r="H169" s="41" t="str">
        <x:v>Arms</x:v>
      </x:c>
      <x:c r="I169" s="41" t="str">
        <x:v>strength_arms</x:v>
      </x:c>
      <x:c r="J169" s="41" t="str">
        <x:v>PRM-1009G</x:v>
      </x:c>
      <x:c r="K169" s="41" t="str">
        <x:v>Arm Curl</x:v>
      </x:c>
      <x:c r="L169" s="41" t="str">
        <x:v>Burnsport</x:v>
      </x:c>
      <x:c r="M169" s="41" t="n">
        <x:v>1</x:v>
      </x:c>
      <x:c r="N169" s="42" t="n">
        <x:v>10672</x:v>
      </x:c>
      <x:c r="O169" s="42" t="n">
        <x:f>M169*N169</x:f>
        <x:v>10672</x:v>
      </x:c>
      <x:c r="P169" s="50" t="n">
        <x:v>0.05</x:v>
      </x:c>
      <x:c r="Q169" s="42" t="n">
        <x:f>O169*P169</x:f>
        <x:v>533.6</x:v>
      </x:c>
      <x:c r="R169" s="42" t="n">
        <x:f>O169+Q169</x:f>
        <x:v>11205.6</x:v>
      </x:c>
      <x:c r="S169" s="41" t="str">
        <x:v>Burnsport default movement</x:v>
      </x:c>
      <x:c r="T169" s="41" t="n">
        <x:v>1</x:v>
      </x:c>
      <x:c r="U169" s="41" t="str">
        <x:v>No</x:v>
      </x:c>
      <x:c r="V169" s="41" t="str">
        <x:v>Use this movement priority; avoid duplicate movement filler.</x:v>
      </x:c>
    </x:row>
    <x:row r="170">
      <x:c r="A170" s="41" t="str">
        <x:v>BURN-350-449</x:v>
      </x:c>
      <x:c r="B170" s="41" t="str">
        <x:v>Burnsport</x:v>
      </x:c>
      <x:c r="C170" s="41" t="str">
        <x:v>350K-449K</x:v>
      </x:c>
      <x:c r="D170" s="41" t="n">
        <x:v>350000</x:v>
      </x:c>
      <x:c r="E170" s="41" t="n">
        <x:v>449999</x:v>
      </x:c>
      <x:c r="F170" s="41" t="n">
        <x:v>3</x:v>
      </x:c>
      <x:c r="G170" s="41" t="str">
        <x:v>Strength</x:v>
      </x:c>
      <x:c r="H170" s="41" t="str">
        <x:v>Arms</x:v>
      </x:c>
      <x:c r="I170" s="41" t="str">
        <x:v>strength_arms</x:v>
      </x:c>
      <x:c r="J170" s="41" t="str">
        <x:v>HM-3007</x:v>
      </x:c>
      <x:c r="K170" s="41" t="str">
        <x:v>Triceps Extension</x:v>
      </x:c>
      <x:c r="L170" s="41" t="str">
        <x:v>Burnsport</x:v>
      </x:c>
      <x:c r="M170" s="41" t="n">
        <x:v>1</x:v>
      </x:c>
      <x:c r="N170" s="42" t="n">
        <x:v>14536</x:v>
      </x:c>
      <x:c r="O170" s="42" t="n">
        <x:f>M170*N170</x:f>
        <x:v>14536</x:v>
      </x:c>
      <x:c r="P170" s="50" t="n">
        <x:v>0.05</x:v>
      </x:c>
      <x:c r="Q170" s="42" t="n">
        <x:f>O170*P170</x:f>
        <x:v>726.8000000000001</x:v>
      </x:c>
      <x:c r="R170" s="42" t="n">
        <x:f>O170+Q170</x:f>
        <x:v>15262.8</x:v>
      </x:c>
      <x:c r="S170" s="41" t="str">
        <x:v>Burnsport default movement</x:v>
      </x:c>
      <x:c r="T170" s="41" t="n">
        <x:v>2</x:v>
      </x:c>
      <x:c r="U170" s="41" t="str">
        <x:v>No</x:v>
      </x:c>
      <x:c r="V170" s="41" t="str">
        <x:v>Use this movement priority; avoid duplicate movement filler.</x:v>
      </x:c>
    </x:row>
    <x:row r="171">
      <x:c r="A171" s="41" t="str">
        <x:v>BURN-350-449</x:v>
      </x:c>
      <x:c r="B171" s="41" t="str">
        <x:v>Burnsport</x:v>
      </x:c>
      <x:c r="C171" s="41" t="str">
        <x:v>350K-449K</x:v>
      </x:c>
      <x:c r="D171" s="41" t="n">
        <x:v>350000</x:v>
      </x:c>
      <x:c r="E171" s="41" t="n">
        <x:v>449999</x:v>
      </x:c>
      <x:c r="F171" s="41" t="n">
        <x:v>3</x:v>
      </x:c>
      <x:c r="G171" s="41" t="str">
        <x:v>Strength</x:v>
      </x:c>
      <x:c r="H171" s="41" t="str">
        <x:v>Core / Abs</x:v>
      </x:c>
      <x:c r="I171" s="41" t="str">
        <x:v>strength_core_abs</x:v>
      </x:c>
      <x:c r="J171" s="41" t="str">
        <x:v>HM-3021</x:v>
      </x:c>
      <x:c r="K171" s="41" t="str">
        <x:v>Abdominal Crunch</x:v>
      </x:c>
      <x:c r="L171" s="41" t="str">
        <x:v>Burnsport</x:v>
      </x:c>
      <x:c r="M171" s="41" t="n">
        <x:v>1</x:v>
      </x:c>
      <x:c r="N171" s="42" t="n">
        <x:v>13156</x:v>
      </x:c>
      <x:c r="O171" s="42" t="n">
        <x:f>M171*N171</x:f>
        <x:v>13156</x:v>
      </x:c>
      <x:c r="P171" s="50" t="n">
        <x:v>0.05</x:v>
      </x:c>
      <x:c r="Q171" s="42" t="n">
        <x:f>O171*P171</x:f>
        <x:v>657.8000000000001</x:v>
      </x:c>
      <x:c r="R171" s="42" t="n">
        <x:f>O171+Q171</x:f>
        <x:v>13813.8</x:v>
      </x:c>
      <x:c r="S171" s="41" t="str">
        <x:v>Burnsport default movement</x:v>
      </x:c>
      <x:c r="T171" s="41" t="n">
        <x:v>1</x:v>
      </x:c>
      <x:c r="U171" s="41" t="str">
        <x:v>No</x:v>
      </x:c>
      <x:c r="V171" s="41" t="str">
        <x:v>Use this movement priority; avoid duplicate movement filler.</x:v>
      </x:c>
    </x:row>
    <x:row r="172">
      <x:c r="A172" s="41" t="str">
        <x:v>BURN-350-449</x:v>
      </x:c>
      <x:c r="B172" s="41" t="str">
        <x:v>Burnsport</x:v>
      </x:c>
      <x:c r="C172" s="41" t="str">
        <x:v>350K-449K</x:v>
      </x:c>
      <x:c r="D172" s="41" t="n">
        <x:v>350000</x:v>
      </x:c>
      <x:c r="E172" s="41" t="n">
        <x:v>449999</x:v>
      </x:c>
      <x:c r="F172" s="41" t="n">
        <x:v>3</x:v>
      </x:c>
      <x:c r="G172" s="41" t="str">
        <x:v>Strength</x:v>
      </x:c>
      <x:c r="H172" s="41" t="str">
        <x:v>Legs</x:v>
      </x:c>
      <x:c r="I172" s="41" t="str">
        <x:v>strength_legs</x:v>
      </x:c>
      <x:c r="J172" s="41" t="str">
        <x:v>PRM-1013</x:v>
      </x:c>
      <x:c r="K172" s="41" t="str">
        <x:v>Leg Press (PRM-1013)</x:v>
      </x:c>
      <x:c r="L172" s="41" t="str">
        <x:v>Burnsport</x:v>
      </x:c>
      <x:c r="M172" s="41" t="n">
        <x:v>1</x:v>
      </x:c>
      <x:c r="N172" s="42" t="n">
        <x:v>14352</x:v>
      </x:c>
      <x:c r="O172" s="42" t="n">
        <x:f>M172*N172</x:f>
        <x:v>14352</x:v>
      </x:c>
      <x:c r="P172" s="50" t="n">
        <x:v>0.05</x:v>
      </x:c>
      <x:c r="Q172" s="42" t="n">
        <x:f>O172*P172</x:f>
        <x:v>717.6</x:v>
      </x:c>
      <x:c r="R172" s="42" t="n">
        <x:f>O172+Q172</x:f>
        <x:v>15069.6</x:v>
      </x:c>
      <x:c r="S172" s="41" t="str">
        <x:v>Burnsport default movement</x:v>
      </x:c>
      <x:c r="T172" s="41" t="n">
        <x:v>1</x:v>
      </x:c>
      <x:c r="U172" s="41" t="str">
        <x:v>No</x:v>
      </x:c>
      <x:c r="V172" s="41" t="str">
        <x:v>Use this movement priority; avoid duplicate movement filler.</x:v>
      </x:c>
    </x:row>
    <x:row r="173">
      <x:c r="A173" s="41" t="str">
        <x:v>BURN-350-449</x:v>
      </x:c>
      <x:c r="B173" s="41" t="str">
        <x:v>Burnsport</x:v>
      </x:c>
      <x:c r="C173" s="41" t="str">
        <x:v>350K-449K</x:v>
      </x:c>
      <x:c r="D173" s="41" t="n">
        <x:v>350000</x:v>
      </x:c>
      <x:c r="E173" s="41" t="n">
        <x:v>449999</x:v>
      </x:c>
      <x:c r="F173" s="41" t="n">
        <x:v>3</x:v>
      </x:c>
      <x:c r="G173" s="41" t="str">
        <x:v>Strength</x:v>
      </x:c>
      <x:c r="H173" s="41" t="str">
        <x:v>Legs</x:v>
      </x:c>
      <x:c r="I173" s="41" t="str">
        <x:v>strength_legs</x:v>
      </x:c>
      <x:c r="J173" s="41" t="str">
        <x:v>HM-3009</x:v>
      </x:c>
      <x:c r="K173" s="41" t="str">
        <x:v>Seated Leg Extension</x:v>
      </x:c>
      <x:c r="L173" s="41" t="str">
        <x:v>Burnsport</x:v>
      </x:c>
      <x:c r="M173" s="41" t="n">
        <x:v>1</x:v>
      </x:c>
      <x:c r="N173" s="42" t="n">
        <x:v>14536</x:v>
      </x:c>
      <x:c r="O173" s="42" t="n">
        <x:f>M173*N173</x:f>
        <x:v>14536</x:v>
      </x:c>
      <x:c r="P173" s="50" t="n">
        <x:v>0.05</x:v>
      </x:c>
      <x:c r="Q173" s="42" t="n">
        <x:f>O173*P173</x:f>
        <x:v>726.8000000000001</x:v>
      </x:c>
      <x:c r="R173" s="42" t="n">
        <x:f>O173+Q173</x:f>
        <x:v>15262.8</x:v>
      </x:c>
      <x:c r="S173" s="41" t="str">
        <x:v>Burnsport default movement</x:v>
      </x:c>
      <x:c r="T173" s="41" t="n">
        <x:v>2</x:v>
      </x:c>
      <x:c r="U173" s="41" t="str">
        <x:v>No</x:v>
      </x:c>
      <x:c r="V173" s="41" t="str">
        <x:v>Use this movement priority; avoid duplicate movement filler.</x:v>
      </x:c>
    </x:row>
    <x:row r="174">
      <x:c r="A174" s="41" t="str">
        <x:v>BURN-350-449</x:v>
      </x:c>
      <x:c r="B174" s="41" t="str">
        <x:v>Burnsport</x:v>
      </x:c>
      <x:c r="C174" s="41" t="str">
        <x:v>350K-449K</x:v>
      </x:c>
      <x:c r="D174" s="41" t="n">
        <x:v>350000</x:v>
      </x:c>
      <x:c r="E174" s="41" t="n">
        <x:v>449999</x:v>
      </x:c>
      <x:c r="F174" s="41" t="n">
        <x:v>3</x:v>
      </x:c>
      <x:c r="G174" s="41" t="str">
        <x:v>Strength</x:v>
      </x:c>
      <x:c r="H174" s="41" t="str">
        <x:v>Legs</x:v>
      </x:c>
      <x:c r="I174" s="41" t="str">
        <x:v>strength_legs</x:v>
      </x:c>
      <x:c r="J174" s="41" t="str">
        <x:v>HM-3010</x:v>
      </x:c>
      <x:c r="K174" s="41" t="str">
        <x:v>Seated Leg Curl</x:v>
      </x:c>
      <x:c r="L174" s="41" t="str">
        <x:v>Burnsport</x:v>
      </x:c>
      <x:c r="M174" s="41" t="n">
        <x:v>1</x:v>
      </x:c>
      <x:c r="N174" s="42" t="n">
        <x:v>14536</x:v>
      </x:c>
      <x:c r="O174" s="42" t="n">
        <x:f>M174*N174</x:f>
        <x:v>14536</x:v>
      </x:c>
      <x:c r="P174" s="50" t="n">
        <x:v>0.05</x:v>
      </x:c>
      <x:c r="Q174" s="42" t="n">
        <x:f>O174*P174</x:f>
        <x:v>726.8000000000001</x:v>
      </x:c>
      <x:c r="R174" s="42" t="n">
        <x:f>O174+Q174</x:f>
        <x:v>15262.8</x:v>
      </x:c>
      <x:c r="S174" s="41" t="str">
        <x:v>Burnsport default movement</x:v>
      </x:c>
      <x:c r="T174" s="41" t="n">
        <x:v>3</x:v>
      </x:c>
      <x:c r="U174" s="41" t="str">
        <x:v>No</x:v>
      </x:c>
      <x:c r="V174" s="41" t="str">
        <x:v>Use this movement priority; avoid duplicate movement filler.</x:v>
      </x:c>
    </x:row>
    <x:row r="175">
      <x:c r="A175" s="41" t="str">
        <x:v>BURN-350-449</x:v>
      </x:c>
      <x:c r="B175" s="41" t="str">
        <x:v>Burnsport</x:v>
      </x:c>
      <x:c r="C175" s="41" t="str">
        <x:v>350K-449K</x:v>
      </x:c>
      <x:c r="D175" s="41" t="n">
        <x:v>350000</x:v>
      </x:c>
      <x:c r="E175" s="41" t="n">
        <x:v>449999</x:v>
      </x:c>
      <x:c r="F175" s="41" t="n">
        <x:v>3</x:v>
      </x:c>
      <x:c r="G175" s="41" t="str">
        <x:v>Strength</x:v>
      </x:c>
      <x:c r="H175" s="41" t="str">
        <x:v>Glutes</x:v>
      </x:c>
      <x:c r="I175" s="41" t="str">
        <x:v>strength_glutes</x:v>
      </x:c>
      <x:c r="J175" s="41" t="str">
        <x:v>HM-3017</x:v>
      </x:c>
      <x:c r="K175" s="41" t="str">
        <x:v>Hip Adduction</x:v>
      </x:c>
      <x:c r="L175" s="41" t="str">
        <x:v>Burnsport</x:v>
      </x:c>
      <x:c r="M175" s="41" t="n">
        <x:v>1</x:v>
      </x:c>
      <x:c r="N175" s="42" t="n">
        <x:v>14536</x:v>
      </x:c>
      <x:c r="O175" s="42" t="n">
        <x:f>M175*N175</x:f>
        <x:v>14536</x:v>
      </x:c>
      <x:c r="P175" s="50" t="n">
        <x:v>0.05</x:v>
      </x:c>
      <x:c r="Q175" s="42" t="n">
        <x:f>O175*P175</x:f>
        <x:v>726.8000000000001</x:v>
      </x:c>
      <x:c r="R175" s="42" t="n">
        <x:f>O175+Q175</x:f>
        <x:v>15262.8</x:v>
      </x:c>
      <x:c r="S175" s="41" t="str">
        <x:v>Burnsport default movement</x:v>
      </x:c>
      <x:c r="T175" s="41" t="n">
        <x:v>1</x:v>
      </x:c>
      <x:c r="U175" s="41" t="str">
        <x:v>No</x:v>
      </x:c>
      <x:c r="V175" s="41" t="str">
        <x:v>Use this movement priority; avoid duplicate movement filler.</x:v>
      </x:c>
    </x:row>
    <x:row r="176">
      <x:c r="A176" s="41" t="str">
        <x:v>BURN-350-449</x:v>
      </x:c>
      <x:c r="B176" s="41" t="str">
        <x:v>Burnsport</x:v>
      </x:c>
      <x:c r="C176" s="41" t="str">
        <x:v>350K-449K</x:v>
      </x:c>
      <x:c r="D176" s="41" t="n">
        <x:v>350000</x:v>
      </x:c>
      <x:c r="E176" s="41" t="n">
        <x:v>449999</x:v>
      </x:c>
      <x:c r="F176" s="41" t="n">
        <x:v>4</x:v>
      </x:c>
      <x:c r="G176" s="41" t="str">
        <x:v>Benches</x:v>
      </x:c>
      <x:c r="H176" s="41" t="str">
        <x:v>Adjustable Bench</x:v>
      </x:c>
      <x:c r="I176" s="41" t="str">
        <x:v>benches_adjustable_bench</x:v>
      </x:c>
      <x:c r="J176" s="41" t="str">
        <x:v>HM-2009C</x:v>
      </x:c>
      <x:c r="K176" s="41" t="str">
        <x:v>Multi-Adjustable Bench</x:v>
      </x:c>
      <x:c r="L176" s="41" t="str">
        <x:v>Burnsport</x:v>
      </x:c>
      <x:c r="M176" s="41" t="n">
        <x:v>2</x:v>
      </x:c>
      <x:c r="N176" s="42" t="n">
        <x:v>4324</x:v>
      </x:c>
      <x:c r="O176" s="42" t="n">
        <x:f>M176*N176</x:f>
        <x:v>8648</x:v>
      </x:c>
      <x:c r="P176" s="50" t="n">
        <x:v>0.05</x:v>
      </x:c>
      <x:c r="Q176" s="42" t="n">
        <x:f>O176*P176</x:f>
        <x:v>432.40000000000003</x:v>
      </x:c>
      <x:c r="R176" s="42" t="n">
        <x:f>O176+Q176</x:f>
        <x:v>9080.4</x:v>
      </x:c>
      <x:c r="S176" s="41" t="str">
        <x:v>Budget-tier quantity</x:v>
      </x:c>
      <x:c r="T176" s="41" t="n">
        <x:v>1</x:v>
      </x:c>
      <x:c r="U176" s="41" t="str">
        <x:v>No</x:v>
      </x:c>
      <x:c r="V176" s="41" t="str">
        <x:v>Bench quantity scales with gym capacity.</x:v>
      </x:c>
    </x:row>
    <x:row r="177">
      <x:c r="A177" s="41" t="str">
        <x:v>BURN-350-449</x:v>
      </x:c>
      <x:c r="B177" s="41" t="str">
        <x:v>Burnsport</x:v>
      </x:c>
      <x:c r="C177" s="41" t="str">
        <x:v>350K-449K</x:v>
      </x:c>
      <x:c r="D177" s="41" t="n">
        <x:v>350000</x:v>
      </x:c>
      <x:c r="E177" s="41" t="n">
        <x:v>449999</x:v>
      </x:c>
      <x:c r="F177" s="41" t="n">
        <x:v>4</x:v>
      </x:c>
      <x:c r="G177" s="41" t="str">
        <x:v>Benches</x:v>
      </x:c>
      <x:c r="H177" s="41" t="str">
        <x:v>Flat Bench</x:v>
      </x:c>
      <x:c r="I177" s="41" t="str">
        <x:v>benches_flat_bench</x:v>
      </x:c>
      <x:c r="J177" s="41" t="str">
        <x:v>HM-2008</x:v>
      </x:c>
      <x:c r="K177" s="41" t="str">
        <x:v>Flat Bench</x:v>
      </x:c>
      <x:c r="L177" s="41" t="str">
        <x:v>Burnsport</x:v>
      </x:c>
      <x:c r="M177" s="41" t="n">
        <x:v>1</x:v>
      </x:c>
      <x:c r="N177" s="42" t="n">
        <x:v>2392</x:v>
      </x:c>
      <x:c r="O177" s="42" t="n">
        <x:f>M177*N177</x:f>
        <x:v>2392</x:v>
      </x:c>
      <x:c r="P177" s="50" t="n">
        <x:v>0.05</x:v>
      </x:c>
      <x:c r="Q177" s="42" t="n">
        <x:f>O177*P177</x:f>
        <x:v>119.60000000000001</x:v>
      </x:c>
      <x:c r="R177" s="42" t="n">
        <x:f>O177+Q177</x:f>
        <x:v>2511.6</x:v>
      </x:c>
      <x:c r="S177" s="41" t="str">
        <x:v>Budget-tier quantity</x:v>
      </x:c>
      <x:c r="T177" s="41" t="n">
        <x:v>2</x:v>
      </x:c>
      <x:c r="U177" s="41" t="str">
        <x:v>No</x:v>
      </x:c>
      <x:c r="V177" s="41" t="str">
        <x:v>Bench quantity scales with gym capacity.</x:v>
      </x:c>
    </x:row>
    <x:row r="178">
      <x:c r="A178" s="41" t="str">
        <x:v>BURN-350-449</x:v>
      </x:c>
      <x:c r="B178" s="41" t="str">
        <x:v>Burnsport</x:v>
      </x:c>
      <x:c r="C178" s="41" t="str">
        <x:v>350K-449K</x:v>
      </x:c>
      <x:c r="D178" s="41" t="n">
        <x:v>350000</x:v>
      </x:c>
      <x:c r="E178" s="41" t="n">
        <x:v>449999</x:v>
      </x:c>
      <x:c r="F178" s="41" t="n">
        <x:v>4</x:v>
      </x:c>
      <x:c r="G178" s="41" t="str">
        <x:v>Benches</x:v>
      </x:c>
      <x:c r="H178" s="41" t="str">
        <x:v>Adjustable Crunch Bench</x:v>
      </x:c>
      <x:c r="I178" s="41" t="str">
        <x:v>benches_adjustable_crunch_bench</x:v>
      </x:c>
      <x:c r="J178" s="41" t="str">
        <x:v>HM-2006</x:v>
      </x:c>
      <x:c r="K178" s="41" t="str">
        <x:v>Decline Bench</x:v>
      </x:c>
      <x:c r="L178" s="41" t="str">
        <x:v>Burnsport</x:v>
      </x:c>
      <x:c r="M178" s="41" t="n">
        <x:v>1</x:v>
      </x:c>
      <x:c r="N178" s="42" t="n">
        <x:v>3404</x:v>
      </x:c>
      <x:c r="O178" s="42" t="n">
        <x:f>M178*N178</x:f>
        <x:v>3404</x:v>
      </x:c>
      <x:c r="P178" s="50" t="n">
        <x:v>0.05</x:v>
      </x:c>
      <x:c r="Q178" s="42" t="n">
        <x:f>O178*P178</x:f>
        <x:v>170.20000000000002</x:v>
      </x:c>
      <x:c r="R178" s="42" t="n">
        <x:f>O178+Q178</x:f>
        <x:v>3574.2</x:v>
      </x:c>
      <x:c r="S178" s="41" t="str">
        <x:v>Budget-tier quantity</x:v>
      </x:c>
      <x:c r="T178" s="41" t="n">
        <x:v>3</x:v>
      </x:c>
      <x:c r="U178" s="41" t="str">
        <x:v>Yes</x:v>
      </x:c>
      <x:c r="V178" s="41" t="str">
        <x:v>Closest actual Burnsport bench match is HM-2006 Decline Bench; verify before fully automatic selection.</x:v>
      </x:c>
    </x:row>
    <x:row r="179">
      <x:c r="A179" s="41" t="str">
        <x:v>BURN-350-449</x:v>
      </x:c>
      <x:c r="B179" s="41" t="str">
        <x:v>Burnsport</x:v>
      </x:c>
      <x:c r="C179" s="41" t="str">
        <x:v>350K-449K</x:v>
      </x:c>
      <x:c r="D179" s="41" t="n">
        <x:v>350000</x:v>
      </x:c>
      <x:c r="E179" s="41" t="n">
        <x:v>449999</x:v>
      </x:c>
      <x:c r="F179" s="41" t="n">
        <x:v>4</x:v>
      </x:c>
      <x:c r="G179" s="41" t="str">
        <x:v>Benches</x:v>
      </x:c>
      <x:c r="H179" s="41" t="str">
        <x:v>Lower Back Bench</x:v>
      </x:c>
      <x:c r="I179" s="41" t="str">
        <x:v>benches_lower_back_bench</x:v>
      </x:c>
      <x:c r="J179" s="41" t="str">
        <x:v>HM-3022</x:v>
      </x:c>
      <x:c r="K179" s="41" t="str">
        <x:v>Back Extension</x:v>
      </x:c>
      <x:c r="L179" s="41" t="str">
        <x:v>Burnsport</x:v>
      </x:c>
      <x:c r="M179" s="41" t="n">
        <x:v>1</x:v>
      </x:c>
      <x:c r="N179" s="42" t="n">
        <x:v>13156</x:v>
      </x:c>
      <x:c r="O179" s="42" t="n">
        <x:f>M179*N179</x:f>
        <x:v>13156</x:v>
      </x:c>
      <x:c r="P179" s="50" t="n">
        <x:v>0.05</x:v>
      </x:c>
      <x:c r="Q179" s="42" t="n">
        <x:f>O179*P179</x:f>
        <x:v>657.8000000000001</x:v>
      </x:c>
      <x:c r="R179" s="42" t="n">
        <x:f>O179+Q179</x:f>
        <x:v>13813.8</x:v>
      </x:c>
      <x:c r="S179" s="41" t="str">
        <x:v>Budget-tier quantity</x:v>
      </x:c>
      <x:c r="T179" s="41" t="n">
        <x:v>4</x:v>
      </x:c>
      <x:c r="U179" s="41" t="str">
        <x:v>Yes</x:v>
      </x:c>
      <x:c r="V179" s="41" t="str">
        <x:v>No dedicated Burnsport lower-back bench found; HM-3022 Back Extension machine is used as the current equivalent.</x:v>
      </x:c>
    </x:row>
    <x:row r="180">
      <x:c r="A180" s="41" t="str">
        <x:v>BURN-350-449</x:v>
      </x:c>
      <x:c r="B180" s="41" t="str">
        <x:v>Burnsport</x:v>
      </x:c>
      <x:c r="C180" s="41" t="str">
        <x:v>350K-449K</x:v>
      </x:c>
      <x:c r="D180" s="41" t="n">
        <x:v>350000</x:v>
      </x:c>
      <x:c r="E180" s="41" t="n">
        <x:v>449999</x:v>
      </x:c>
      <x:c r="F180" s="41" t="n">
        <x:v>4</x:v>
      </x:c>
      <x:c r="G180" s="41" t="str">
        <x:v>Benches</x:v>
      </x:c>
      <x:c r="H180" s="41" t="str">
        <x:v>Olympic Flat Bench</x:v>
      </x:c>
      <x:c r="I180" s="41" t="str">
        <x:v>benches_olympic_flat_bench</x:v>
      </x:c>
      <x:c r="J180" s="41" t="str">
        <x:v>HM-2002</x:v>
      </x:c>
      <x:c r="K180" s="41" t="str">
        <x:v>Olympic Flat Bench</x:v>
      </x:c>
      <x:c r="L180" s="41" t="str">
        <x:v>Burnsport</x:v>
      </x:c>
      <x:c r="M180" s="41" t="n">
        <x:v>1</x:v>
      </x:c>
      <x:c r="N180" s="42" t="n">
        <x:v>4416</x:v>
      </x:c>
      <x:c r="O180" s="42" t="n">
        <x:f>M180*N180</x:f>
        <x:v>4416</x:v>
      </x:c>
      <x:c r="P180" s="50" t="n">
        <x:v>0.05</x:v>
      </x:c>
      <x:c r="Q180" s="42" t="n">
        <x:f>O180*P180</x:f>
        <x:v>220.8</x:v>
      </x:c>
      <x:c r="R180" s="42" t="n">
        <x:f>O180+Q180</x:f>
        <x:v>4636.8</x:v>
      </x:c>
      <x:c r="S180" s="41" t="str">
        <x:v>Budget-tier quantity</x:v>
      </x:c>
      <x:c r="T180" s="41" t="n">
        <x:v>5</x:v>
      </x:c>
      <x:c r="U180" s="41" t="str">
        <x:v>No</x:v>
      </x:c>
      <x:c r="V180" s="41" t="str">
        <x:v>Bench quantity scales with gym capacity.</x:v>
      </x:c>
    </x:row>
    <x:row r="181">
      <x:c r="A181" s="41" t="str">
        <x:v>BURN-350-449</x:v>
      </x:c>
      <x:c r="B181" s="41" t="str">
        <x:v>Burnsport</x:v>
      </x:c>
      <x:c r="C181" s="41" t="str">
        <x:v>350K-449K</x:v>
      </x:c>
      <x:c r="D181" s="41" t="n">
        <x:v>350000</x:v>
      </x:c>
      <x:c r="E181" s="41" t="n">
        <x:v>449999</x:v>
      </x:c>
      <x:c r="F181" s="41" t="n">
        <x:v>4</x:v>
      </x:c>
      <x:c r="G181" s="41" t="str">
        <x:v>Benches</x:v>
      </x:c>
      <x:c r="H181" s="41" t="str">
        <x:v>Olympic Incline Bench</x:v>
      </x:c>
      <x:c r="I181" s="41" t="str">
        <x:v>benches_olympic_incline_bench</x:v>
      </x:c>
      <x:c r="J181" s="41" t="str">
        <x:v>HM-2001</x:v>
      </x:c>
      <x:c r="K181" s="41" t="str">
        <x:v>Olympic Incline Bench</x:v>
      </x:c>
      <x:c r="L181" s="41" t="str">
        <x:v>Burnsport</x:v>
      </x:c>
      <x:c r="M181" s="41" t="n">
        <x:v>1</x:v>
      </x:c>
      <x:c r="N181" s="42" t="n">
        <x:v>5428</x:v>
      </x:c>
      <x:c r="O181" s="42" t="n">
        <x:f>M181*N181</x:f>
        <x:v>5428</x:v>
      </x:c>
      <x:c r="P181" s="50" t="n">
        <x:v>0.05</x:v>
      </x:c>
      <x:c r="Q181" s="42" t="n">
        <x:f>O181*P181</x:f>
        <x:v>271.40000000000003</x:v>
      </x:c>
      <x:c r="R181" s="42" t="n">
        <x:f>O181+Q181</x:f>
        <x:v>5699.4</x:v>
      </x:c>
      <x:c r="S181" s="41" t="str">
        <x:v>Budget-tier quantity</x:v>
      </x:c>
      <x:c r="T181" s="41" t="n">
        <x:v>6</x:v>
      </x:c>
      <x:c r="U181" s="41" t="str">
        <x:v>No</x:v>
      </x:c>
      <x:c r="V181" s="41" t="str">
        <x:v>Bench quantity scales with gym capacity.</x:v>
      </x:c>
    </x:row>
    <x:row r="182">
      <x:c r="A182" s="41" t="str">
        <x:v>BURN-350-449</x:v>
      </x:c>
      <x:c r="B182" s="41" t="str">
        <x:v>Burnsport</x:v>
      </x:c>
      <x:c r="C182" s="41" t="str">
        <x:v>350K-449K</x:v>
      </x:c>
      <x:c r="D182" s="41" t="n">
        <x:v>350000</x:v>
      </x:c>
      <x:c r="E182" s="41" t="n">
        <x:v>449999</x:v>
      </x:c>
      <x:c r="F182" s="41" t="n">
        <x:v>5</x:v>
      </x:c>
      <x:c r="G182" s="41" t="str">
        <x:v>Free Weights</x:v>
      </x:c>
      <x:c r="H182" s="41" t="str">
        <x:v>Dumbbell Full Set 2.5–50kg</x:v>
      </x:c>
      <x:c r="I182" s="41" t="str">
        <x:v>free_weights_dumbbell_full_set_2_5_50kg</x:v>
      </x:c>
      <x:c r="J182" s="41" t="str">
        <x:v>BRN-001-2</x:v>
      </x:c>
      <x:c r="K182" s="41" t="str">
        <x:v>PU Dumbbells Set - 2.5–50 kg</x:v>
      </x:c>
      <x:c r="L182" s="41" t="str">
        <x:v>Burnsport</x:v>
      </x:c>
      <x:c r="M182" s="41" t="n">
        <x:v>1</x:v>
      </x:c>
      <x:c r="N182" s="42" t="n">
        <x:v>16500</x:v>
      </x:c>
      <x:c r="O182" s="42" t="n">
        <x:f>M182*N182</x:f>
        <x:v>16500</x:v>
      </x:c>
      <x:c r="P182" s="50" t="n">
        <x:v>0.05</x:v>
      </x:c>
      <x:c r="Q182" s="42" t="n">
        <x:f>O182*P182</x:f>
        <x:v>825</x:v>
      </x:c>
      <x:c r="R182" s="42" t="n">
        <x:f>O182+Q182</x:f>
        <x:v>17325</x:v>
      </x:c>
      <x:c r="S182" s="41" t="str">
        <x:v>Brand-matched bundle</x:v>
      </x:c>
      <x:c r="T182" s="41" t="n">
        <x:v>1</x:v>
      </x:c>
      <x:c r="U182" s="41" t="str">
        <x:v>No</x:v>
      </x:c>
      <x:c r="V182" s="41" t="str">
        <x:v>Full set requires exactly 2 matching dumbbell racks.</x:v>
      </x:c>
    </x:row>
    <x:row r="183">
      <x:c r="A183" s="41" t="str">
        <x:v>BURN-350-449</x:v>
      </x:c>
      <x:c r="B183" s="41" t="str">
        <x:v>Burnsport</x:v>
      </x:c>
      <x:c r="C183" s="41" t="str">
        <x:v>350K-449K</x:v>
      </x:c>
      <x:c r="D183" s="41" t="n">
        <x:v>350000</x:v>
      </x:c>
      <x:c r="E183" s="41" t="n">
        <x:v>449999</x:v>
      </x:c>
      <x:c r="F183" s="41" t="n">
        <x:v>5</x:v>
      </x:c>
      <x:c r="G183" s="41" t="str">
        <x:v>Free Weights</x:v>
      </x:c>
      <x:c r="H183" s="41" t="str">
        <x:v>Dumbbell Rack</x:v>
      </x:c>
      <x:c r="I183" s="41" t="str">
        <x:v>free_weights_dumbbell_rack</x:v>
      </x:c>
      <x:c r="J183" s="41" t="str">
        <x:v>HM-2017</x:v>
      </x:c>
      <x:c r="K183" s="41" t="str">
        <x:v>Dumbbell Rack - Two Tier</x:v>
      </x:c>
      <x:c r="L183" s="41" t="str">
        <x:v>Burnsport</x:v>
      </x:c>
      <x:c r="M183" s="41" t="n">
        <x:v>2</x:v>
      </x:c>
      <x:c r="N183" s="42" t="n">
        <x:v>3312</x:v>
      </x:c>
      <x:c r="O183" s="42" t="n">
        <x:f>M183*N183</x:f>
        <x:v>6624</x:v>
      </x:c>
      <x:c r="P183" s="50" t="n">
        <x:v>0.05</x:v>
      </x:c>
      <x:c r="Q183" s="42" t="n">
        <x:f>O183*P183</x:f>
        <x:v>331.20000000000005</x:v>
      </x:c>
      <x:c r="R183" s="42" t="n">
        <x:f>O183+Q183</x:f>
        <x:v>6955.2</x:v>
      </x:c>
      <x:c r="S183" s="41" t="str">
        <x:v>Derived from dumbbell bundle</x:v>
      </x:c>
      <x:c r="T183" s="41" t="n">
        <x:v>3</x:v>
      </x:c>
      <x:c r="U183" s="41" t="str">
        <x:v>No</x:v>
      </x:c>
      <x:c r="V183" s="41" t="str">
        <x:v>2 racks per full set; 1 rack per half set.</x:v>
      </x:c>
    </x:row>
    <x:row r="184">
      <x:c r="A184" s="41" t="str">
        <x:v>BURN-350-449</x:v>
      </x:c>
      <x:c r="B184" s="41" t="str">
        <x:v>Burnsport</x:v>
      </x:c>
      <x:c r="C184" s="41" t="str">
        <x:v>350K-449K</x:v>
      </x:c>
      <x:c r="D184" s="41" t="n">
        <x:v>350000</x:v>
      </x:c>
      <x:c r="E184" s="41" t="n">
        <x:v>449999</x:v>
      </x:c>
      <x:c r="F184" s="41" t="n">
        <x:v>5</x:v>
      </x:c>
      <x:c r="G184" s="41" t="str">
        <x:v>Free Weights</x:v>
      </x:c>
      <x:c r="H184" s="41" t="str">
        <x:v>PU Weight Plate 2.5kg</x:v>
      </x:c>
      <x:c r="I184" s="41" t="str">
        <x:v>free_weights_pu_weight_plate_2_5kg</x:v>
      </x:c>
      <x:c r="J184" s="41" t="str">
        <x:v>BRN-003</x:v>
      </x:c>
      <x:c r="K184" s="41" t="str">
        <x:v>PU Weight Plate - 2.5 kg</x:v>
      </x:c>
      <x:c r="L184" s="41" t="str">
        <x:v>Burnsport</x:v>
      </x:c>
      <x:c r="M184" s="41" t="n">
        <x:v>12</x:v>
      </x:c>
      <x:c r="N184" s="42" t="n">
        <x:v>45</x:v>
      </x:c>
      <x:c r="O184" s="42" t="n">
        <x:f>M184*N184</x:f>
        <x:v>540</x:v>
      </x:c>
      <x:c r="P184" s="50" t="n">
        <x:v>0.05</x:v>
      </x:c>
      <x:c r="Q184" s="42" t="n">
        <x:f>O184*P184</x:f>
        <x:v>27</x:v>
      </x:c>
      <x:c r="R184" s="42" t="n">
        <x:f>O184+Q184</x:f>
        <x:v>567</x:v>
      </x:c>
      <x:c r="S184" s="41" t="str">
        <x:v>Brand + premium family locked</x:v>
      </x:c>
      <x:c r="T184" s="41" t="n">
        <x:v>11</x:v>
      </x:c>
      <x:c r="U184" s="41" t="str">
        <x:v>No</x:v>
      </x:c>
      <x:c r="V184" s="41" t="str">
        <x:v>12 pcs each size. One complete family only; never mix plate families.</x:v>
      </x:c>
    </x:row>
    <x:row r="185">
      <x:c r="A185" s="41" t="str">
        <x:v>BURN-350-449</x:v>
      </x:c>
      <x:c r="B185" s="41" t="str">
        <x:v>Burnsport</x:v>
      </x:c>
      <x:c r="C185" s="41" t="str">
        <x:v>350K-449K</x:v>
      </x:c>
      <x:c r="D185" s="41" t="n">
        <x:v>350000</x:v>
      </x:c>
      <x:c r="E185" s="41" t="n">
        <x:v>449999</x:v>
      </x:c>
      <x:c r="F185" s="41" t="n">
        <x:v>5</x:v>
      </x:c>
      <x:c r="G185" s="41" t="str">
        <x:v>Free Weights</x:v>
      </x:c>
      <x:c r="H185" s="41" t="str">
        <x:v>PU Weight Plate 5kg</x:v>
      </x:c>
      <x:c r="I185" s="41" t="str">
        <x:v>free_weights_pu_weight_plate_5kg</x:v>
      </x:c>
      <x:c r="J185" s="41" t="str">
        <x:v>BRN-003-2</x:v>
      </x:c>
      <x:c r="K185" s="41" t="str">
        <x:v>PU Weight Plate - 5 kg</x:v>
      </x:c>
      <x:c r="L185" s="41" t="str">
        <x:v>Burnsport</x:v>
      </x:c>
      <x:c r="M185" s="41" t="n">
        <x:v>12</x:v>
      </x:c>
      <x:c r="N185" s="42" t="n">
        <x:v>90</x:v>
      </x:c>
      <x:c r="O185" s="42" t="n">
        <x:f>M185*N185</x:f>
        <x:v>1080</x:v>
      </x:c>
      <x:c r="P185" s="50" t="n">
        <x:v>0.05</x:v>
      </x:c>
      <x:c r="Q185" s="42" t="n">
        <x:f>O185*P185</x:f>
        <x:v>54</x:v>
      </x:c>
      <x:c r="R185" s="42" t="n">
        <x:f>O185+Q185</x:f>
        <x:v>1134</x:v>
      </x:c>
      <x:c r="S185" s="41" t="str">
        <x:v>Brand + premium family locked</x:v>
      </x:c>
      <x:c r="T185" s="41" t="n">
        <x:v>12</x:v>
      </x:c>
      <x:c r="U185" s="41" t="str">
        <x:v>No</x:v>
      </x:c>
      <x:c r="V185" s="41" t="str">
        <x:v>12 pcs each size. One complete family only; never mix plate families.</x:v>
      </x:c>
    </x:row>
    <x:row r="186">
      <x:c r="A186" s="41" t="str">
        <x:v>BURN-350-449</x:v>
      </x:c>
      <x:c r="B186" s="41" t="str">
        <x:v>Burnsport</x:v>
      </x:c>
      <x:c r="C186" s="41" t="str">
        <x:v>350K-449K</x:v>
      </x:c>
      <x:c r="D186" s="41" t="n">
        <x:v>350000</x:v>
      </x:c>
      <x:c r="E186" s="41" t="n">
        <x:v>449999</x:v>
      </x:c>
      <x:c r="F186" s="41" t="n">
        <x:v>5</x:v>
      </x:c>
      <x:c r="G186" s="41" t="str">
        <x:v>Free Weights</x:v>
      </x:c>
      <x:c r="H186" s="41" t="str">
        <x:v>PU Weight Plate 10kg</x:v>
      </x:c>
      <x:c r="I186" s="41" t="str">
        <x:v>free_weights_pu_weight_plate_10kg</x:v>
      </x:c>
      <x:c r="J186" s="41" t="str">
        <x:v>BRN-003-3</x:v>
      </x:c>
      <x:c r="K186" s="41" t="str">
        <x:v>PU Weight Plate - 10 kg</x:v>
      </x:c>
      <x:c r="L186" s="41" t="str">
        <x:v>Burnsport</x:v>
      </x:c>
      <x:c r="M186" s="41" t="n">
        <x:v>12</x:v>
      </x:c>
      <x:c r="N186" s="42" t="n">
        <x:v>180</x:v>
      </x:c>
      <x:c r="O186" s="42" t="n">
        <x:f>M186*N186</x:f>
        <x:v>2160</x:v>
      </x:c>
      <x:c r="P186" s="50" t="n">
        <x:v>0.05</x:v>
      </x:c>
      <x:c r="Q186" s="42" t="n">
        <x:f>O186*P186</x:f>
        <x:v>108</x:v>
      </x:c>
      <x:c r="R186" s="42" t="n">
        <x:f>O186+Q186</x:f>
        <x:v>2268</x:v>
      </x:c>
      <x:c r="S186" s="41" t="str">
        <x:v>Brand + premium family locked</x:v>
      </x:c>
      <x:c r="T186" s="41" t="n">
        <x:v>13</x:v>
      </x:c>
      <x:c r="U186" s="41" t="str">
        <x:v>No</x:v>
      </x:c>
      <x:c r="V186" s="41" t="str">
        <x:v>12 pcs each size. One complete family only; never mix plate families.</x:v>
      </x:c>
    </x:row>
    <x:row r="187">
      <x:c r="A187" s="41" t="str">
        <x:v>BURN-350-449</x:v>
      </x:c>
      <x:c r="B187" s="41" t="str">
        <x:v>Burnsport</x:v>
      </x:c>
      <x:c r="C187" s="41" t="str">
        <x:v>350K-449K</x:v>
      </x:c>
      <x:c r="D187" s="41" t="n">
        <x:v>350000</x:v>
      </x:c>
      <x:c r="E187" s="41" t="n">
        <x:v>449999</x:v>
      </x:c>
      <x:c r="F187" s="41" t="n">
        <x:v>5</x:v>
      </x:c>
      <x:c r="G187" s="41" t="str">
        <x:v>Free Weights</x:v>
      </x:c>
      <x:c r="H187" s="41" t="str">
        <x:v>PU Weight Plate 20kg</x:v>
      </x:c>
      <x:c r="I187" s="41" t="str">
        <x:v>free_weights_pu_weight_plate_20kg</x:v>
      </x:c>
      <x:c r="J187" s="41" t="str">
        <x:v>BRN-003-5</x:v>
      </x:c>
      <x:c r="K187" s="41" t="str">
        <x:v>PU Weight Plate - 20 kg</x:v>
      </x:c>
      <x:c r="L187" s="41" t="str">
        <x:v>Burnsport</x:v>
      </x:c>
      <x:c r="M187" s="41" t="n">
        <x:v>12</x:v>
      </x:c>
      <x:c r="N187" s="42" t="n">
        <x:v>360</x:v>
      </x:c>
      <x:c r="O187" s="42" t="n">
        <x:f>M187*N187</x:f>
        <x:v>4320</x:v>
      </x:c>
      <x:c r="P187" s="50" t="n">
        <x:v>0.05</x:v>
      </x:c>
      <x:c r="Q187" s="42" t="n">
        <x:f>O187*P187</x:f>
        <x:v>216</x:v>
      </x:c>
      <x:c r="R187" s="42" t="n">
        <x:f>O187+Q187</x:f>
        <x:v>4536</x:v>
      </x:c>
      <x:c r="S187" s="41" t="str">
        <x:v>Brand + premium family locked</x:v>
      </x:c>
      <x:c r="T187" s="41" t="n">
        <x:v>14</x:v>
      </x:c>
      <x:c r="U187" s="41" t="str">
        <x:v>No</x:v>
      </x:c>
      <x:c r="V187" s="41" t="str">
        <x:v>12 pcs each size. One complete family only; never mix plate families.</x:v>
      </x:c>
    </x:row>
    <x:row r="188">
      <x:c r="A188" s="41" t="str">
        <x:v>BURN-350-449</x:v>
      </x:c>
      <x:c r="B188" s="41" t="str">
        <x:v>Burnsport</x:v>
      </x:c>
      <x:c r="C188" s="41" t="str">
        <x:v>350K-449K</x:v>
      </x:c>
      <x:c r="D188" s="41" t="n">
        <x:v>350000</x:v>
      </x:c>
      <x:c r="E188" s="41" t="n">
        <x:v>449999</x:v>
      </x:c>
      <x:c r="F188" s="41" t="n">
        <x:v>5</x:v>
      </x:c>
      <x:c r="G188" s="41" t="str">
        <x:v>Free Weights</x:v>
      </x:c>
      <x:c r="H188" s="41" t="str">
        <x:v>Barbell Set</x:v>
      </x:c>
      <x:c r="I188" s="41" t="str">
        <x:v>free_weights_barbell_set</x:v>
      </x:c>
      <x:c r="J188" s="41" t="str">
        <x:v>PM3015</x:v>
      </x:c>
      <x:c r="K188" s="41" t="str">
        <x:v>Rubber Coated Barbell Set</x:v>
      </x:c>
      <x:c r="L188" s="41" t="str">
        <x:v>Premier</x:v>
      </x:c>
      <x:c r="M188" s="41" t="n">
        <x:v>1</x:v>
      </x:c>
      <x:c r="N188" s="42" t="n">
        <x:v>3500</x:v>
      </x:c>
      <x:c r="O188" s="42" t="n">
        <x:f>M188*N188</x:f>
        <x:v>3500</x:v>
      </x:c>
      <x:c r="P188" s="50" t="n">
        <x:v>0.05</x:v>
      </x:c>
      <x:c r="Q188" s="42" t="n">
        <x:f>O188*P188</x:f>
        <x:v>175</x:v>
      </x:c>
      <x:c r="R188" s="42" t="n">
        <x:f>O188+Q188</x:f>
        <x:v>3675</x:v>
      </x:c>
      <x:c r="S188" s="41" t="str">
        <x:v>Complete set</x:v>
      </x:c>
      <x:c r="T188" s="41" t="n">
        <x:v>20</x:v>
      </x:c>
      <x:c r="U188" s="41" t="str">
        <x:v>Yes</x:v>
      </x:c>
      <x:c r="V188" s="41" t="str">
        <x:v>No Burnsport barbell set exists in the uploaded product list. Premier set is used as shared fallback; approval required before fully automatic use.</x:v>
      </x:c>
    </x:row>
    <x:row r="189">
      <x:c r="A189" s="41" t="str">
        <x:v>BURN-350-449</x:v>
      </x:c>
      <x:c r="B189" s="41" t="str">
        <x:v>Burnsport</x:v>
      </x:c>
      <x:c r="C189" s="41" t="str">
        <x:v>350K-449K</x:v>
      </x:c>
      <x:c r="D189" s="41" t="n">
        <x:v>350000</x:v>
      </x:c>
      <x:c r="E189" s="41" t="n">
        <x:v>449999</x:v>
      </x:c>
      <x:c r="F189" s="41" t="n">
        <x:v>5</x:v>
      </x:c>
      <x:c r="G189" s="41" t="str">
        <x:v>Free Weights</x:v>
      </x:c>
      <x:c r="H189" s="41" t="str">
        <x:v>Barbell Rack</x:v>
      </x:c>
      <x:c r="I189" s="41" t="str">
        <x:v>free_weights_barbell_rack</x:v>
      </x:c>
      <x:c r="J189" s="41" t="str">
        <x:v>HM-2023</x:v>
      </x:c>
      <x:c r="K189" s="41" t="str">
        <x:v>Barbell Rack</x:v>
      </x:c>
      <x:c r="L189" s="41" t="str">
        <x:v>Burnsport</x:v>
      </x:c>
      <x:c r="M189" s="41" t="n">
        <x:v>1</x:v>
      </x:c>
      <x:c r="N189" s="42" t="n">
        <x:v>4351.6</x:v>
      </x:c>
      <x:c r="O189" s="42" t="n">
        <x:f>M189*N189</x:f>
        <x:v>4351.6</x:v>
      </x:c>
      <x:c r="P189" s="50" t="n">
        <x:v>0.05</x:v>
      </x:c>
      <x:c r="Q189" s="42" t="n">
        <x:f>O189*P189</x:f>
        <x:v>217.58000000000004</x:v>
      </x:c>
      <x:c r="R189" s="42" t="n">
        <x:f>O189+Q189</x:f>
        <x:v>4569.18</x:v>
      </x:c>
      <x:c r="S189" s="41" t="str">
        <x:v>1 matching rack per set</x:v>
      </x:c>
      <x:c r="T189" s="41" t="n">
        <x:v>21</x:v>
      </x:c>
      <x:c r="U189" s="41" t="str">
        <x:v>No</x:v>
      </x:c>
      <x:c r="V189" s="41" t="str">
        <x:v>Rack brand follows the gym brand; 1 rack per barbell set.</x:v>
      </x:c>
    </x:row>
    <x:row r="190">
      <x:c r="A190" s="41" t="str">
        <x:v>BURN-450-549</x:v>
      </x:c>
      <x:c r="B190" s="41" t="str">
        <x:v>Burnsport</x:v>
      </x:c>
      <x:c r="C190" s="41" t="str">
        <x:v>450K-549K</x:v>
      </x:c>
      <x:c r="D190" s="41" t="n">
        <x:v>450000</x:v>
      </x:c>
      <x:c r="E190" s="41" t="n">
        <x:v>549999</x:v>
      </x:c>
      <x:c r="F190" s="41" t="n">
        <x:v>1</x:v>
      </x:c>
      <x:c r="G190" s="41" t="str">
        <x:v>Cardio</x:v>
      </x:c>
      <x:c r="H190" s="41" t="str">
        <x:v>Treadmill</x:v>
      </x:c>
      <x:c r="I190" s="41" t="str">
        <x:v>cardio_treadmill</x:v>
      </x:c>
      <x:c r="J190" s="41" t="str">
        <x:v>CD-001</x:v>
      </x:c>
      <x:c r="K190" s="41" t="str">
        <x:v>Commerical Treadmill</x:v>
      </x:c>
      <x:c r="L190" s="41" t="str">
        <x:v>Burnsport</x:v>
      </x:c>
      <x:c r="M190" s="41" t="n">
        <x:v>5</x:v>
      </x:c>
      <x:c r="N190" s="42" t="n">
        <x:v>12500</x:v>
      </x:c>
      <x:c r="O190" s="42" t="n">
        <x:f>M190*N190</x:f>
        <x:v>62500</x:v>
      </x:c>
      <x:c r="P190" s="50" t="n">
        <x:v>0.05</x:v>
      </x:c>
      <x:c r="Q190" s="42" t="n">
        <x:f>O190*P190</x:f>
        <x:v>3125</x:v>
      </x:c>
      <x:c r="R190" s="42" t="n">
        <x:f>O190+Q190</x:f>
        <x:v>65625</x:v>
      </x:c>
      <x:c r="S190" s="41" t="str">
        <x:v>Fixed role; quantity scales by budget</x:v>
      </x:c>
      <x:c r="T190" s="41" t="n">
        <x:v>1</x:v>
      </x:c>
      <x:c r="U190" s="41" t="str">
        <x:v>No</x:v>
      </x:c>
      <x:c r="V190" s="41" t="str"/>
    </x:row>
    <x:row r="191">
      <x:c r="A191" s="41" t="str">
        <x:v>BURN-450-549</x:v>
      </x:c>
      <x:c r="B191" s="41" t="str">
        <x:v>Burnsport</x:v>
      </x:c>
      <x:c r="C191" s="41" t="str">
        <x:v>450K-549K</x:v>
      </x:c>
      <x:c r="D191" s="41" t="n">
        <x:v>450000</x:v>
      </x:c>
      <x:c r="E191" s="41" t="n">
        <x:v>549999</x:v>
      </x:c>
      <x:c r="F191" s="41" t="n">
        <x:v>1</x:v>
      </x:c>
      <x:c r="G191" s="41" t="str">
        <x:v>Cardio</x:v>
      </x:c>
      <x:c r="H191" s="41" t="str">
        <x:v>Cross Trainer</x:v>
      </x:c>
      <x:c r="I191" s="41" t="str">
        <x:v>cardio_cross_trainer</x:v>
      </x:c>
      <x:c r="J191" s="41" t="str">
        <x:v>CD-002</x:v>
      </x:c>
      <x:c r="K191" s="41" t="str">
        <x:v>Elliptical Cross Trainer</x:v>
      </x:c>
      <x:c r="L191" s="41" t="str">
        <x:v>Burnsport</x:v>
      </x:c>
      <x:c r="M191" s="41" t="n">
        <x:v>2</x:v>
      </x:c>
      <x:c r="N191" s="42" t="n">
        <x:v>9000</x:v>
      </x:c>
      <x:c r="O191" s="42" t="n">
        <x:f>M191*N191</x:f>
        <x:v>18000</x:v>
      </x:c>
      <x:c r="P191" s="50" t="n">
        <x:v>0.05</x:v>
      </x:c>
      <x:c r="Q191" s="42" t="n">
        <x:f>O191*P191</x:f>
        <x:v>900</x:v>
      </x:c>
      <x:c r="R191" s="42" t="n">
        <x:f>O191+Q191</x:f>
        <x:v>18900</x:v>
      </x:c>
      <x:c r="S191" s="41" t="str">
        <x:v>Fixed role; quantity scales by budget</x:v>
      </x:c>
      <x:c r="T191" s="41" t="n">
        <x:v>2</x:v>
      </x:c>
      <x:c r="U191" s="41" t="str">
        <x:v>No</x:v>
      </x:c>
      <x:c r="V191" s="41" t="str"/>
    </x:row>
    <x:row r="192">
      <x:c r="A192" s="41" t="str">
        <x:v>BURN-450-549</x:v>
      </x:c>
      <x:c r="B192" s="41" t="str">
        <x:v>Burnsport</x:v>
      </x:c>
      <x:c r="C192" s="41" t="str">
        <x:v>450K-549K</x:v>
      </x:c>
      <x:c r="D192" s="41" t="n">
        <x:v>450000</x:v>
      </x:c>
      <x:c r="E192" s="41" t="n">
        <x:v>549999</x:v>
      </x:c>
      <x:c r="F192" s="41" t="n">
        <x:v>1</x:v>
      </x:c>
      <x:c r="G192" s="41" t="str">
        <x:v>Cardio</x:v>
      </x:c>
      <x:c r="H192" s="41" t="str">
        <x:v>Upright Bike</x:v>
      </x:c>
      <x:c r="I192" s="41" t="str">
        <x:v>cardio_upright_bike</x:v>
      </x:c>
      <x:c r="J192" s="41" t="str">
        <x:v>CD-005</x:v>
      </x:c>
      <x:c r="K192" s="41" t="str">
        <x:v>Upright Bike</x:v>
      </x:c>
      <x:c r="L192" s="41" t="str">
        <x:v>Burnsport</x:v>
      </x:c>
      <x:c r="M192" s="41" t="n">
        <x:v>1</x:v>
      </x:c>
      <x:c r="N192" s="42" t="n">
        <x:v>6250</x:v>
      </x:c>
      <x:c r="O192" s="42" t="n">
        <x:f>M192*N192</x:f>
        <x:v>6250</x:v>
      </x:c>
      <x:c r="P192" s="50" t="n">
        <x:v>0.05</x:v>
      </x:c>
      <x:c r="Q192" s="42" t="n">
        <x:f>O192*P192</x:f>
        <x:v>312.5</x:v>
      </x:c>
      <x:c r="R192" s="42" t="n">
        <x:f>O192+Q192</x:f>
        <x:v>6562.5</x:v>
      </x:c>
      <x:c r="S192" s="41" t="str">
        <x:v>Fixed role; quantity scales by budget</x:v>
      </x:c>
      <x:c r="T192" s="41" t="n">
        <x:v>3</x:v>
      </x:c>
      <x:c r="U192" s="41" t="str">
        <x:v>No</x:v>
      </x:c>
      <x:c r="V192" s="41" t="str"/>
    </x:row>
    <x:row r="193">
      <x:c r="A193" s="41" t="str">
        <x:v>BURN-450-549</x:v>
      </x:c>
      <x:c r="B193" s="41" t="str">
        <x:v>Burnsport</x:v>
      </x:c>
      <x:c r="C193" s="41" t="str">
        <x:v>450K-549K</x:v>
      </x:c>
      <x:c r="D193" s="41" t="n">
        <x:v>450000</x:v>
      </x:c>
      <x:c r="E193" s="41" t="n">
        <x:v>549999</x:v>
      </x:c>
      <x:c r="F193" s="41" t="n">
        <x:v>1</x:v>
      </x:c>
      <x:c r="G193" s="41" t="str">
        <x:v>Cardio</x:v>
      </x:c>
      <x:c r="H193" s="41" t="str">
        <x:v>Recumbent Bike</x:v>
      </x:c>
      <x:c r="I193" s="41" t="str">
        <x:v>cardio_recumbent_bike</x:v>
      </x:c>
      <x:c r="J193" s="41" t="str">
        <x:v>CD-004</x:v>
      </x:c>
      <x:c r="K193" s="41" t="str">
        <x:v>Recumbent Bike</x:v>
      </x:c>
      <x:c r="L193" s="41" t="str">
        <x:v>Burnsport</x:v>
      </x:c>
      <x:c r="M193" s="41" t="n">
        <x:v>1</x:v>
      </x:c>
      <x:c r="N193" s="42" t="n">
        <x:v>6500</x:v>
      </x:c>
      <x:c r="O193" s="42" t="n">
        <x:f>M193*N193</x:f>
        <x:v>6500</x:v>
      </x:c>
      <x:c r="P193" s="50" t="n">
        <x:v>0.05</x:v>
      </x:c>
      <x:c r="Q193" s="42" t="n">
        <x:f>O193*P193</x:f>
        <x:v>325</x:v>
      </x:c>
      <x:c r="R193" s="42" t="n">
        <x:f>O193+Q193</x:f>
        <x:v>6825</x:v>
      </x:c>
      <x:c r="S193" s="41" t="str">
        <x:v>Fixed role; quantity scales by budget</x:v>
      </x:c>
      <x:c r="T193" s="41" t="n">
        <x:v>4</x:v>
      </x:c>
      <x:c r="U193" s="41" t="str">
        <x:v>No</x:v>
      </x:c>
      <x:c r="V193" s="41" t="str"/>
    </x:row>
    <x:row r="194">
      <x:c r="A194" s="41" t="str">
        <x:v>BURN-450-549</x:v>
      </x:c>
      <x:c r="B194" s="41" t="str">
        <x:v>Burnsport</x:v>
      </x:c>
      <x:c r="C194" s="41" t="str">
        <x:v>450K-549K</x:v>
      </x:c>
      <x:c r="D194" s="41" t="n">
        <x:v>450000</x:v>
      </x:c>
      <x:c r="E194" s="41" t="n">
        <x:v>549999</x:v>
      </x:c>
      <x:c r="F194" s="41" t="n">
        <x:v>1</x:v>
      </x:c>
      <x:c r="G194" s="41" t="str">
        <x:v>Cardio</x:v>
      </x:c>
      <x:c r="H194" s="41" t="str">
        <x:v>Spinning Bike</x:v>
      </x:c>
      <x:c r="I194" s="41" t="str">
        <x:v>cardio_spinning_bike</x:v>
      </x:c>
      <x:c r="J194" s="41" t="str">
        <x:v>CD-006</x:v>
      </x:c>
      <x:c r="K194" s="41" t="str">
        <x:v>Spinning Bike</x:v>
      </x:c>
      <x:c r="L194" s="41" t="str">
        <x:v>Burnsport</x:v>
      </x:c>
      <x:c r="M194" s="41" t="n">
        <x:v>3</x:v>
      </x:c>
      <x:c r="N194" s="42" t="n">
        <x:v>3500</x:v>
      </x:c>
      <x:c r="O194" s="42" t="n">
        <x:f>M194*N194</x:f>
        <x:v>10500</x:v>
      </x:c>
      <x:c r="P194" s="50" t="n">
        <x:v>0.05</x:v>
      </x:c>
      <x:c r="Q194" s="42" t="n">
        <x:f>O194*P194</x:f>
        <x:v>525</x:v>
      </x:c>
      <x:c r="R194" s="42" t="n">
        <x:f>O194+Q194</x:f>
        <x:v>11025</x:v>
      </x:c>
      <x:c r="S194" s="41" t="str">
        <x:v>Fixed role; quantity scales by budget</x:v>
      </x:c>
      <x:c r="T194" s="41" t="n">
        <x:v>5</x:v>
      </x:c>
      <x:c r="U194" s="41" t="str">
        <x:v>No</x:v>
      </x:c>
      <x:c r="V194" s="41" t="str"/>
    </x:row>
    <x:row r="195">
      <x:c r="A195" s="41" t="str">
        <x:v>BURN-450-549</x:v>
      </x:c>
      <x:c r="B195" s="41" t="str">
        <x:v>Burnsport</x:v>
      </x:c>
      <x:c r="C195" s="41" t="str">
        <x:v>450K-549K</x:v>
      </x:c>
      <x:c r="D195" s="41" t="n">
        <x:v>450000</x:v>
      </x:c>
      <x:c r="E195" s="41" t="n">
        <x:v>549999</x:v>
      </x:c>
      <x:c r="F195" s="41" t="n">
        <x:v>1</x:v>
      </x:c>
      <x:c r="G195" s="41" t="str">
        <x:v>Cardio</x:v>
      </x:c>
      <x:c r="H195" s="41" t="str">
        <x:v>Stair Master</x:v>
      </x:c>
      <x:c r="I195" s="41" t="str">
        <x:v>cardio_stair_master</x:v>
      </x:c>
      <x:c r="J195" s="41" t="str">
        <x:v>PR159</x:v>
      </x:c>
      <x:c r="K195" s="41" t="str">
        <x:v>Stair Master</x:v>
      </x:c>
      <x:c r="L195" s="41" t="str">
        <x:v>Premier</x:v>
      </x:c>
      <x:c r="M195" s="41" t="n">
        <x:v>1</x:v>
      </x:c>
      <x:c r="N195" s="42" t="n">
        <x:v>9500</x:v>
      </x:c>
      <x:c r="O195" s="42" t="n">
        <x:f>M195*N195</x:f>
        <x:v>9500</x:v>
      </x:c>
      <x:c r="P195" s="50" t="n">
        <x:v>0.05</x:v>
      </x:c>
      <x:c r="Q195" s="42" t="n">
        <x:f>O195*P195</x:f>
        <x:v>475</x:v>
      </x:c>
      <x:c r="R195" s="42" t="n">
        <x:f>O195+Q195</x:f>
        <x:v>9975</x:v>
      </x:c>
      <x:c r="S195" s="41" t="str">
        <x:v>Fixed role; quantity scales by budget</x:v>
      </x:c>
      <x:c r="T195" s="41" t="n">
        <x:v>6</x:v>
      </x:c>
      <x:c r="U195" s="41" t="str">
        <x:v>Yes</x:v>
      </x:c>
      <x:c r="V195" s="41" t="str">
        <x:v>Burnsport stair master is not present in the uploaded source; Premier PR159 is the current fallback.</x:v>
      </x:c>
    </x:row>
    <x:row r="196">
      <x:c r="A196" s="41" t="str">
        <x:v>BURN-450-549</x:v>
      </x:c>
      <x:c r="B196" s="41" t="str">
        <x:v>Burnsport</x:v>
      </x:c>
      <x:c r="C196" s="41" t="str">
        <x:v>450K-549K</x:v>
      </x:c>
      <x:c r="D196" s="41" t="n">
        <x:v>450000</x:v>
      </x:c>
      <x:c r="E196" s="41" t="n">
        <x:v>549999</x:v>
      </x:c>
      <x:c r="F196" s="41" t="n">
        <x:v>1</x:v>
      </x:c>
      <x:c r="G196" s="41" t="str">
        <x:v>Cardio</x:v>
      </x:c>
      <x:c r="H196" s="41" t="str">
        <x:v>Rower</x:v>
      </x:c>
      <x:c r="I196" s="41" t="str">
        <x:v>cardio_rower</x:v>
      </x:c>
      <x:c r="J196" s="41" t="str">
        <x:v>CD-007</x:v>
      </x:c>
      <x:c r="K196" s="41" t="str">
        <x:v>Air Rowing Machine</x:v>
      </x:c>
      <x:c r="L196" s="41" t="str">
        <x:v>Burnsport</x:v>
      </x:c>
      <x:c r="M196" s="41" t="n">
        <x:v>1</x:v>
      </x:c>
      <x:c r="N196" s="42" t="n">
        <x:v>4000</x:v>
      </x:c>
      <x:c r="O196" s="42" t="n">
        <x:f>M196*N196</x:f>
        <x:v>4000</x:v>
      </x:c>
      <x:c r="P196" s="50" t="n">
        <x:v>0.05</x:v>
      </x:c>
      <x:c r="Q196" s="42" t="n">
        <x:f>O196*P196</x:f>
        <x:v>200</x:v>
      </x:c>
      <x:c r="R196" s="42" t="n">
        <x:f>O196+Q196</x:f>
        <x:v>4200</x:v>
      </x:c>
      <x:c r="S196" s="41" t="str">
        <x:v>Fixed role; quantity scales by budget</x:v>
      </x:c>
      <x:c r="T196" s="41" t="n">
        <x:v>7</x:v>
      </x:c>
      <x:c r="U196" s="41" t="str">
        <x:v>No</x:v>
      </x:c>
      <x:c r="V196" s="41" t="str"/>
    </x:row>
    <x:row r="197">
      <x:c r="A197" s="41" t="str">
        <x:v>BURN-450-549</x:v>
      </x:c>
      <x:c r="B197" s="41" t="str">
        <x:v>Burnsport</x:v>
      </x:c>
      <x:c r="C197" s="41" t="str">
        <x:v>450K-549K</x:v>
      </x:c>
      <x:c r="D197" s="41" t="n">
        <x:v>450000</x:v>
      </x:c>
      <x:c r="E197" s="41" t="n">
        <x:v>549999</x:v>
      </x:c>
      <x:c r="F197" s="41" t="n">
        <x:v>1</x:v>
      </x:c>
      <x:c r="G197" s="41" t="str">
        <x:v>Cardio</x:v>
      </x:c>
      <x:c r="H197" s="41" t="str">
        <x:v>SkiErg</x:v>
      </x:c>
      <x:c r="I197" s="41" t="str">
        <x:v>cardio_skierg</x:v>
      </x:c>
      <x:c r="J197" s="41" t="str">
        <x:v>CD-008</x:v>
      </x:c>
      <x:c r="K197" s="41" t="str">
        <x:v>Skierg</x:v>
      </x:c>
      <x:c r="L197" s="41" t="str">
        <x:v>Burnsport</x:v>
      </x:c>
      <x:c r="M197" s="41" t="n">
        <x:v>1</x:v>
      </x:c>
      <x:c r="N197" s="42" t="n">
        <x:v>5500</x:v>
      </x:c>
      <x:c r="O197" s="42" t="n">
        <x:f>M197*N197</x:f>
        <x:v>5500</x:v>
      </x:c>
      <x:c r="P197" s="50" t="n">
        <x:v>0.05</x:v>
      </x:c>
      <x:c r="Q197" s="42" t="n">
        <x:f>O197*P197</x:f>
        <x:v>275</x:v>
      </x:c>
      <x:c r="R197" s="42" t="n">
        <x:f>O197+Q197</x:f>
        <x:v>5775</x:v>
      </x:c>
      <x:c r="S197" s="41" t="str">
        <x:v>Fixed role; quantity scales by budget</x:v>
      </x:c>
      <x:c r="T197" s="41" t="n">
        <x:v>8</x:v>
      </x:c>
      <x:c r="U197" s="41" t="str">
        <x:v>No</x:v>
      </x:c>
      <x:c r="V197" s="41" t="str"/>
    </x:row>
    <x:row r="198">
      <x:c r="A198" s="41" t="str">
        <x:v>BURN-450-549</x:v>
      </x:c>
      <x:c r="B198" s="41" t="str">
        <x:v>Burnsport</x:v>
      </x:c>
      <x:c r="C198" s="41" t="str">
        <x:v>450K-549K</x:v>
      </x:c>
      <x:c r="D198" s="41" t="n">
        <x:v>450000</x:v>
      </x:c>
      <x:c r="E198" s="41" t="n">
        <x:v>549999</x:v>
      </x:c>
      <x:c r="F198" s="41" t="n">
        <x:v>2</x:v>
      </x:c>
      <x:c r="G198" s="41" t="str">
        <x:v>Functional / Multi</x:v>
      </x:c>
      <x:c r="H198" s="41" t="str">
        <x:v>Smith Machine</x:v>
      </x:c>
      <x:c r="I198" s="41" t="str">
        <x:v>functional_multi_smith_machine</x:v>
      </x:c>
      <x:c r="J198" s="41" t="str">
        <x:v>PNT-1012</x:v>
      </x:c>
      <x:c r="K198" s="41" t="str">
        <x:v>Power Smith Machine Dual System</x:v>
      </x:c>
      <x:c r="L198" s="41" t="str">
        <x:v>Burnsport</x:v>
      </x:c>
      <x:c r="M198" s="41" t="n">
        <x:v>1</x:v>
      </x:c>
      <x:c r="N198" s="42" t="n">
        <x:v>12742</x:v>
      </x:c>
      <x:c r="O198" s="42" t="n">
        <x:f>M198*N198</x:f>
        <x:v>12742</x:v>
      </x:c>
      <x:c r="P198" s="50" t="n">
        <x:v>0.05</x:v>
      </x:c>
      <x:c r="Q198" s="42" t="n">
        <x:f>O198*P198</x:f>
        <x:v>637.1</x:v>
      </x:c>
      <x:c r="R198" s="42" t="n">
        <x:f>O198+Q198</x:f>
        <x:v>13379.1</x:v>
      </x:c>
      <x:c r="S198" s="41" t="str">
        <x:v>Mandatory exactly 1</x:v>
      </x:c>
      <x:c r="T198" s="41" t="n">
        <x:v>1</x:v>
      </x:c>
      <x:c r="U198" s="41" t="str">
        <x:v>No</x:v>
      </x:c>
      <x:c r="V198" s="41" t="str">
        <x:v>Smith is mandatory in every full-gym profile.</x:v>
      </x:c>
    </x:row>
    <x:row r="199">
      <x:c r="A199" s="41" t="str">
        <x:v>BURN-450-549</x:v>
      </x:c>
      <x:c r="B199" s="41" t="str">
        <x:v>Burnsport</x:v>
      </x:c>
      <x:c r="C199" s="41" t="str">
        <x:v>450K-549K</x:v>
      </x:c>
      <x:c r="D199" s="41" t="n">
        <x:v>450000</x:v>
      </x:c>
      <x:c r="E199" s="41" t="n">
        <x:v>549999</x:v>
      </x:c>
      <x:c r="F199" s="41" t="n">
        <x:v>2</x:v>
      </x:c>
      <x:c r="G199" s="41" t="str">
        <x:v>Functional / Multi</x:v>
      </x:c>
      <x:c r="H199" s="41" t="str">
        <x:v>Functional Trainer</x:v>
      </x:c>
      <x:c r="I199" s="41" t="str">
        <x:v>functional_multi_functional_trainer</x:v>
      </x:c>
      <x:c r="J199" s="41" t="str">
        <x:v>LJ-5002</x:v>
      </x:c>
      <x:c r="K199" s="41" t="str">
        <x:v>Adjustable Crossover</x:v>
      </x:c>
      <x:c r="L199" s="41" t="str">
        <x:v>Burnsport</x:v>
      </x:c>
      <x:c r="M199" s="41" t="n">
        <x:v>1</x:v>
      </x:c>
      <x:c r="N199" s="42" t="n">
        <x:v>21141.6</x:v>
      </x:c>
      <x:c r="O199" s="42" t="n">
        <x:f>M199*N199</x:f>
        <x:v>21141.6</x:v>
      </x:c>
      <x:c r="P199" s="50" t="n">
        <x:v>0.05</x:v>
      </x:c>
      <x:c r="Q199" s="42" t="n">
        <x:f>O199*P199</x:f>
        <x:v>1057.08</x:v>
      </x:c>
      <x:c r="R199" s="42" t="n">
        <x:f>O199+Q199</x:f>
        <x:v>22198.68</x:v>
      </x:c>
      <x:c r="S199" s="41" t="str">
        <x:v>Mandatory exactly 1</x:v>
      </x:c>
      <x:c r="T199" s="41" t="n">
        <x:v>2</x:v>
      </x:c>
      <x:c r="U199" s="41" t="str">
        <x:v>No</x:v>
      </x:c>
      <x:c r="V199" s="41" t="str">
        <x:v>Functional Trainer is exactly 1.</x:v>
      </x:c>
    </x:row>
    <x:row r="200">
      <x:c r="A200" s="41" t="str">
        <x:v>BURN-450-549</x:v>
      </x:c>
      <x:c r="B200" s="41" t="str">
        <x:v>Burnsport</x:v>
      </x:c>
      <x:c r="C200" s="41" t="str">
        <x:v>450K-549K</x:v>
      </x:c>
      <x:c r="D200" s="41" t="n">
        <x:v>450000</x:v>
      </x:c>
      <x:c r="E200" s="41" t="n">
        <x:v>549999</x:v>
      </x:c>
      <x:c r="F200" s="41" t="n">
        <x:v>2</x:v>
      </x:c>
      <x:c r="G200" s="41" t="str">
        <x:v>Functional / Multi</x:v>
      </x:c>
      <x:c r="H200" s="41" t="str">
        <x:v>5 Station</x:v>
      </x:c>
      <x:c r="I200" s="41" t="str">
        <x:v>functional_multi_5_station</x:v>
      </x:c>
      <x:c r="J200" s="41" t="str">
        <x:v>LJ-5004</x:v>
      </x:c>
      <x:c r="K200" s="41" t="str">
        <x:v>Multi-jungle 5 Station</x:v>
      </x:c>
      <x:c r="L200" s="41" t="str">
        <x:v>Burnsport</x:v>
      </x:c>
      <x:c r="M200" s="41" t="n">
        <x:v>1</x:v>
      </x:c>
      <x:c r="N200" s="42" t="n">
        <x:v>38557.2</x:v>
      </x:c>
      <x:c r="O200" s="42" t="n">
        <x:f>M200*N200</x:f>
        <x:v>38557.2</x:v>
      </x:c>
      <x:c r="P200" s="50" t="n">
        <x:v>0.05</x:v>
      </x:c>
      <x:c r="Q200" s="42" t="n">
        <x:f>O200*P200</x:f>
        <x:v>1927.86</x:v>
      </x:c>
      <x:c r="R200" s="42" t="n">
        <x:f>O200+Q200</x:f>
        <x:v>40485.06</x:v>
      </x:c>
      <x:c r="S200" s="41" t="str">
        <x:v>Budget-tier replacement</x:v>
      </x:c>
      <x:c r="T200" s="41" t="n">
        <x:v>3</x:v>
      </x:c>
      <x:c r="U200" s="41" t="str">
        <x:v>No</x:v>
      </x:c>
      <x:c r="V200" s="41" t="str">
        <x:v>Only 4 / 5 / 8 station are allowed; never combine station sizes.</x:v>
      </x:c>
    </x:row>
    <x:row r="201">
      <x:c r="A201" s="41" t="str">
        <x:v>BURN-450-549</x:v>
      </x:c>
      <x:c r="B201" s="41" t="str">
        <x:v>Burnsport</x:v>
      </x:c>
      <x:c r="C201" s="41" t="str">
        <x:v>450K-549K</x:v>
      </x:c>
      <x:c r="D201" s="41" t="n">
        <x:v>450000</x:v>
      </x:c>
      <x:c r="E201" s="41" t="n">
        <x:v>549999</x:v>
      </x:c>
      <x:c r="F201" s="41" t="n">
        <x:v>3</x:v>
      </x:c>
      <x:c r="G201" s="41" t="str">
        <x:v>Strength</x:v>
      </x:c>
      <x:c r="H201" s="41" t="str">
        <x:v>Chest</x:v>
      </x:c>
      <x:c r="I201" s="41" t="str">
        <x:v>strength_chest</x:v>
      </x:c>
      <x:c r="J201" s="41" t="str">
        <x:v>PRM-1005G</x:v>
      </x:c>
      <x:c r="K201" s="41" t="str">
        <x:v>Chest Press (PRM-1005G)</x:v>
      </x:c>
      <x:c r="L201" s="41" t="str">
        <x:v>Burnsport</x:v>
      </x:c>
      <x:c r="M201" s="41" t="n">
        <x:v>1</x:v>
      </x:c>
      <x:c r="N201" s="42" t="n">
        <x:v>11776</x:v>
      </x:c>
      <x:c r="O201" s="42" t="n">
        <x:f>M201*N201</x:f>
        <x:v>11776</x:v>
      </x:c>
      <x:c r="P201" s="50" t="n">
        <x:v>0.05</x:v>
      </x:c>
      <x:c r="Q201" s="42" t="n">
        <x:f>O201*P201</x:f>
        <x:v>588.8000000000001</x:v>
      </x:c>
      <x:c r="R201" s="42" t="n">
        <x:f>O201+Q201</x:f>
        <x:v>12364.8</x:v>
      </x:c>
      <x:c r="S201" s="41" t="str">
        <x:v>Burnsport default movement</x:v>
      </x:c>
      <x:c r="T201" s="41" t="n">
        <x:v>1</x:v>
      </x:c>
      <x:c r="U201" s="41" t="str">
        <x:v>No</x:v>
      </x:c>
      <x:c r="V201" s="41" t="str">
        <x:v>Use this movement priority; avoid duplicate movement filler.</x:v>
      </x:c>
    </x:row>
    <x:row r="202">
      <x:c r="A202" s="41" t="str">
        <x:v>BURN-450-549</x:v>
      </x:c>
      <x:c r="B202" s="41" t="str">
        <x:v>Burnsport</x:v>
      </x:c>
      <x:c r="C202" s="41" t="str">
        <x:v>450K-549K</x:v>
      </x:c>
      <x:c r="D202" s="41" t="n">
        <x:v>450000</x:v>
      </x:c>
      <x:c r="E202" s="41" t="n">
        <x:v>549999</x:v>
      </x:c>
      <x:c r="F202" s="41" t="n">
        <x:v>3</x:v>
      </x:c>
      <x:c r="G202" s="41" t="str">
        <x:v>Strength</x:v>
      </x:c>
      <x:c r="H202" s="41" t="str">
        <x:v>Chest</x:v>
      </x:c>
      <x:c r="I202" s="41" t="str">
        <x:v>strength_chest</x:v>
      </x:c>
      <x:c r="J202" s="41" t="str">
        <x:v>PRM-1002</x:v>
      </x:c>
      <x:c r="K202" s="41" t="str">
        <x:v>Incline Press Press Plate</x:v>
      </x:c>
      <x:c r="L202" s="41" t="str">
        <x:v>Burnsport</x:v>
      </x:c>
      <x:c r="M202" s="41" t="n">
        <x:v>1</x:v>
      </x:c>
      <x:c r="N202" s="42" t="n">
        <x:v>11776</x:v>
      </x:c>
      <x:c r="O202" s="42" t="n">
        <x:f>M202*N202</x:f>
        <x:v>11776</x:v>
      </x:c>
      <x:c r="P202" s="50" t="n">
        <x:v>0.05</x:v>
      </x:c>
      <x:c r="Q202" s="42" t="n">
        <x:f>O202*P202</x:f>
        <x:v>588.8000000000001</x:v>
      </x:c>
      <x:c r="R202" s="42" t="n">
        <x:f>O202+Q202</x:f>
        <x:v>12364.8</x:v>
      </x:c>
      <x:c r="S202" s="41" t="str">
        <x:v>Burnsport default movement</x:v>
      </x:c>
      <x:c r="T202" s="41" t="n">
        <x:v>2</x:v>
      </x:c>
      <x:c r="U202" s="41" t="str">
        <x:v>No</x:v>
      </x:c>
      <x:c r="V202" s="41" t="str">
        <x:v>Use this movement priority; avoid duplicate movement filler.</x:v>
      </x:c>
    </x:row>
    <x:row r="203">
      <x:c r="A203" s="41" t="str">
        <x:v>BURN-450-549</x:v>
      </x:c>
      <x:c r="B203" s="41" t="str">
        <x:v>Burnsport</x:v>
      </x:c>
      <x:c r="C203" s="41" t="str">
        <x:v>450K-549K</x:v>
      </x:c>
      <x:c r="D203" s="41" t="n">
        <x:v>450000</x:v>
      </x:c>
      <x:c r="E203" s="41" t="n">
        <x:v>549999</x:v>
      </x:c>
      <x:c r="F203" s="41" t="n">
        <x:v>3</x:v>
      </x:c>
      <x:c r="G203" s="41" t="str">
        <x:v>Strength</x:v>
      </x:c>
      <x:c r="H203" s="41" t="str">
        <x:v>Chest</x:v>
      </x:c>
      <x:c r="I203" s="41" t="str">
        <x:v>strength_chest</x:v>
      </x:c>
      <x:c r="J203" s="41" t="str">
        <x:v>HM-3015</x:v>
      </x:c>
      <x:c r="K203" s="41" t="str">
        <x:v>Pectoral Fly</x:v>
      </x:c>
      <x:c r="L203" s="41" t="str">
        <x:v>Burnsport</x:v>
      </x:c>
      <x:c r="M203" s="41" t="n">
        <x:v>1</x:v>
      </x:c>
      <x:c r="N203" s="42" t="n">
        <x:v>14536</x:v>
      </x:c>
      <x:c r="O203" s="42" t="n">
        <x:f>M203*N203</x:f>
        <x:v>14536</x:v>
      </x:c>
      <x:c r="P203" s="50" t="n">
        <x:v>0.05</x:v>
      </x:c>
      <x:c r="Q203" s="42" t="n">
        <x:f>O203*P203</x:f>
        <x:v>726.8000000000001</x:v>
      </x:c>
      <x:c r="R203" s="42" t="n">
        <x:f>O203+Q203</x:f>
        <x:v>15262.8</x:v>
      </x:c>
      <x:c r="S203" s="41" t="str">
        <x:v>Burnsport default movement</x:v>
      </x:c>
      <x:c r="T203" s="41" t="n">
        <x:v>3</x:v>
      </x:c>
      <x:c r="U203" s="41" t="str">
        <x:v>No</x:v>
      </x:c>
      <x:c r="V203" s="41" t="str">
        <x:v>Use this movement priority; avoid duplicate movement filler.</x:v>
      </x:c>
    </x:row>
    <x:row r="204">
      <x:c r="A204" s="41" t="str">
        <x:v>BURN-450-549</x:v>
      </x:c>
      <x:c r="B204" s="41" t="str">
        <x:v>Burnsport</x:v>
      </x:c>
      <x:c r="C204" s="41" t="str">
        <x:v>450K-549K</x:v>
      </x:c>
      <x:c r="D204" s="41" t="n">
        <x:v>450000</x:v>
      </x:c>
      <x:c r="E204" s="41" t="n">
        <x:v>549999</x:v>
      </x:c>
      <x:c r="F204" s="41" t="n">
        <x:v>3</x:v>
      </x:c>
      <x:c r="G204" s="41" t="str">
        <x:v>Strength</x:v>
      </x:c>
      <x:c r="H204" s="41" t="str">
        <x:v>Shoulder</x:v>
      </x:c>
      <x:c r="I204" s="41" t="str">
        <x:v>strength_shoulder</x:v>
      </x:c>
      <x:c r="J204" s="41" t="str">
        <x:v>PRM-1004G</x:v>
      </x:c>
      <x:c r="K204" s="41" t="str">
        <x:v>Shoulder Press (PRM-1004G)</x:v>
      </x:c>
      <x:c r="L204" s="41" t="str">
        <x:v>Burnsport</x:v>
      </x:c>
      <x:c r="M204" s="41" t="n">
        <x:v>1</x:v>
      </x:c>
      <x:c r="N204" s="42" t="n">
        <x:v>11776</x:v>
      </x:c>
      <x:c r="O204" s="42" t="n">
        <x:f>M204*N204</x:f>
        <x:v>11776</x:v>
      </x:c>
      <x:c r="P204" s="50" t="n">
        <x:v>0.05</x:v>
      </x:c>
      <x:c r="Q204" s="42" t="n">
        <x:f>O204*P204</x:f>
        <x:v>588.8000000000001</x:v>
      </x:c>
      <x:c r="R204" s="42" t="n">
        <x:f>O204+Q204</x:f>
        <x:v>12364.8</x:v>
      </x:c>
      <x:c r="S204" s="41" t="str">
        <x:v>Burnsport default movement</x:v>
      </x:c>
      <x:c r="T204" s="41" t="n">
        <x:v>1</x:v>
      </x:c>
      <x:c r="U204" s="41" t="str">
        <x:v>No</x:v>
      </x:c>
      <x:c r="V204" s="41" t="str">
        <x:v>Use this movement priority; avoid duplicate movement filler.</x:v>
      </x:c>
    </x:row>
    <x:row r="205">
      <x:c r="A205" s="41" t="str">
        <x:v>BURN-450-549</x:v>
      </x:c>
      <x:c r="B205" s="41" t="str">
        <x:v>Burnsport</x:v>
      </x:c>
      <x:c r="C205" s="41" t="str">
        <x:v>450K-549K</x:v>
      </x:c>
      <x:c r="D205" s="41" t="n">
        <x:v>450000</x:v>
      </x:c>
      <x:c r="E205" s="41" t="n">
        <x:v>549999</x:v>
      </x:c>
      <x:c r="F205" s="41" t="n">
        <x:v>3</x:v>
      </x:c>
      <x:c r="G205" s="41" t="str">
        <x:v>Strength</x:v>
      </x:c>
      <x:c r="H205" s="41" t="str">
        <x:v>Shoulder</x:v>
      </x:c>
      <x:c r="I205" s="41" t="str">
        <x:v>strength_shoulder</x:v>
      </x:c>
      <x:c r="J205" s="41" t="str">
        <x:v>HM-3014</x:v>
      </x:c>
      <x:c r="K205" s="41" t="str">
        <x:v>Seated Lateral Raise</x:v>
      </x:c>
      <x:c r="L205" s="41" t="str">
        <x:v>Burnsport</x:v>
      </x:c>
      <x:c r="M205" s="41" t="n">
        <x:v>1</x:v>
      </x:c>
      <x:c r="N205" s="42" t="n">
        <x:v>14536</x:v>
      </x:c>
      <x:c r="O205" s="42" t="n">
        <x:f>M205*N205</x:f>
        <x:v>14536</x:v>
      </x:c>
      <x:c r="P205" s="50" t="n">
        <x:v>0.05</x:v>
      </x:c>
      <x:c r="Q205" s="42" t="n">
        <x:f>O205*P205</x:f>
        <x:v>726.8000000000001</x:v>
      </x:c>
      <x:c r="R205" s="42" t="n">
        <x:f>O205+Q205</x:f>
        <x:v>15262.8</x:v>
      </x:c>
      <x:c r="S205" s="41" t="str">
        <x:v>Burnsport default movement</x:v>
      </x:c>
      <x:c r="T205" s="41" t="n">
        <x:v>2</x:v>
      </x:c>
      <x:c r="U205" s="41" t="str">
        <x:v>No</x:v>
      </x:c>
      <x:c r="V205" s="41" t="str">
        <x:v>Use this movement priority; avoid duplicate movement filler.</x:v>
      </x:c>
    </x:row>
    <x:row r="206">
      <x:c r="A206" s="41" t="str">
        <x:v>BURN-450-549</x:v>
      </x:c>
      <x:c r="B206" s="41" t="str">
        <x:v>Burnsport</x:v>
      </x:c>
      <x:c r="C206" s="41" t="str">
        <x:v>450K-549K</x:v>
      </x:c>
      <x:c r="D206" s="41" t="n">
        <x:v>450000</x:v>
      </x:c>
      <x:c r="E206" s="41" t="n">
        <x:v>549999</x:v>
      </x:c>
      <x:c r="F206" s="41" t="n">
        <x:v>3</x:v>
      </x:c>
      <x:c r="G206" s="41" t="str">
        <x:v>Strength</x:v>
      </x:c>
      <x:c r="H206" s="41" t="str">
        <x:v>Back</x:v>
      </x:c>
      <x:c r="I206" s="41" t="str">
        <x:v>strength_back</x:v>
      </x:c>
      <x:c r="J206" s="41" t="str">
        <x:v>PRM-1007G</x:v>
      </x:c>
      <x:c r="K206" s="41" t="str">
        <x:v>Lat Pulldown (PRM-1007G)</x:v>
      </x:c>
      <x:c r="L206" s="41" t="str">
        <x:v>Burnsport</x:v>
      </x:c>
      <x:c r="M206" s="41" t="n">
        <x:v>1</x:v>
      </x:c>
      <x:c r="N206" s="42" t="n">
        <x:v>11776</x:v>
      </x:c>
      <x:c r="O206" s="42" t="n">
        <x:f>M206*N206</x:f>
        <x:v>11776</x:v>
      </x:c>
      <x:c r="P206" s="50" t="n">
        <x:v>0.05</x:v>
      </x:c>
      <x:c r="Q206" s="42" t="n">
        <x:f>O206*P206</x:f>
        <x:v>588.8000000000001</x:v>
      </x:c>
      <x:c r="R206" s="42" t="n">
        <x:f>O206+Q206</x:f>
        <x:v>12364.8</x:v>
      </x:c>
      <x:c r="S206" s="41" t="str">
        <x:v>Burnsport default movement</x:v>
      </x:c>
      <x:c r="T206" s="41" t="n">
        <x:v>1</x:v>
      </x:c>
      <x:c r="U206" s="41" t="str">
        <x:v>No</x:v>
      </x:c>
      <x:c r="V206" s="41" t="str">
        <x:v>Use this movement priority; avoid duplicate movement filler.</x:v>
      </x:c>
    </x:row>
    <x:row r="207">
      <x:c r="A207" s="41" t="str">
        <x:v>BURN-450-549</x:v>
      </x:c>
      <x:c r="B207" s="41" t="str">
        <x:v>Burnsport</x:v>
      </x:c>
      <x:c r="C207" s="41" t="str">
        <x:v>450K-549K</x:v>
      </x:c>
      <x:c r="D207" s="41" t="n">
        <x:v>450000</x:v>
      </x:c>
      <x:c r="E207" s="41" t="n">
        <x:v>549999</x:v>
      </x:c>
      <x:c r="F207" s="41" t="n">
        <x:v>3</x:v>
      </x:c>
      <x:c r="G207" s="41" t="str">
        <x:v>Strength</x:v>
      </x:c>
      <x:c r="H207" s="41" t="str">
        <x:v>Back</x:v>
      </x:c>
      <x:c r="I207" s="41" t="str">
        <x:v>strength_back</x:v>
      </x:c>
      <x:c r="J207" s="41" t="str">
        <x:v>PRM-1008G</x:v>
      </x:c>
      <x:c r="K207" s="41" t="str">
        <x:v>Seated Row</x:v>
      </x:c>
      <x:c r="L207" s="41" t="str">
        <x:v>Burnsport</x:v>
      </x:c>
      <x:c r="M207" s="41" t="n">
        <x:v>1</x:v>
      </x:c>
      <x:c r="N207" s="42" t="n">
        <x:v>10672</x:v>
      </x:c>
      <x:c r="O207" s="42" t="n">
        <x:f>M207*N207</x:f>
        <x:v>10672</x:v>
      </x:c>
      <x:c r="P207" s="50" t="n">
        <x:v>0.05</x:v>
      </x:c>
      <x:c r="Q207" s="42" t="n">
        <x:f>O207*P207</x:f>
        <x:v>533.6</x:v>
      </x:c>
      <x:c r="R207" s="42" t="n">
        <x:f>O207+Q207</x:f>
        <x:v>11205.6</x:v>
      </x:c>
      <x:c r="S207" s="41" t="str">
        <x:v>Burnsport default movement</x:v>
      </x:c>
      <x:c r="T207" s="41" t="n">
        <x:v>2</x:v>
      </x:c>
      <x:c r="U207" s="41" t="str">
        <x:v>No</x:v>
      </x:c>
      <x:c r="V207" s="41" t="str">
        <x:v>Use this movement priority; avoid duplicate movement filler.</x:v>
      </x:c>
    </x:row>
    <x:row r="208">
      <x:c r="A208" s="41" t="str">
        <x:v>BURN-450-549</x:v>
      </x:c>
      <x:c r="B208" s="41" t="str">
        <x:v>Burnsport</x:v>
      </x:c>
      <x:c r="C208" s="41" t="str">
        <x:v>450K-549K</x:v>
      </x:c>
      <x:c r="D208" s="41" t="n">
        <x:v>450000</x:v>
      </x:c>
      <x:c r="E208" s="41" t="n">
        <x:v>549999</x:v>
      </x:c>
      <x:c r="F208" s="41" t="n">
        <x:v>3</x:v>
      </x:c>
      <x:c r="G208" s="41" t="str">
        <x:v>Strength</x:v>
      </x:c>
      <x:c r="H208" s="41" t="str">
        <x:v>Back</x:v>
      </x:c>
      <x:c r="I208" s="41" t="str">
        <x:v>strength_back</x:v>
      </x:c>
      <x:c r="J208" s="41" t="str">
        <x:v>HM-1014</x:v>
      </x:c>
      <x:c r="K208" s="41" t="str">
        <x:v>Iso-lateral Low Row</x:v>
      </x:c>
      <x:c r="L208" s="41" t="str">
        <x:v>Burnsport</x:v>
      </x:c>
      <x:c r="M208" s="41" t="n">
        <x:v>1</x:v>
      </x:c>
      <x:c r="N208" s="42" t="n">
        <x:v>10856</x:v>
      </x:c>
      <x:c r="O208" s="42" t="n">
        <x:f>M208*N208</x:f>
        <x:v>10856</x:v>
      </x:c>
      <x:c r="P208" s="50" t="n">
        <x:v>0.05</x:v>
      </x:c>
      <x:c r="Q208" s="42" t="n">
        <x:f>O208*P208</x:f>
        <x:v>542.8000000000001</x:v>
      </x:c>
      <x:c r="R208" s="42" t="n">
        <x:f>O208+Q208</x:f>
        <x:v>11398.8</x:v>
      </x:c>
      <x:c r="S208" s="41" t="str">
        <x:v>Burnsport default movement</x:v>
      </x:c>
      <x:c r="T208" s="41" t="n">
        <x:v>3</x:v>
      </x:c>
      <x:c r="U208" s="41" t="str">
        <x:v>No</x:v>
      </x:c>
      <x:c r="V208" s="41" t="str">
        <x:v>Use this movement priority; avoid duplicate movement filler.</x:v>
      </x:c>
    </x:row>
    <x:row r="209">
      <x:c r="A209" s="41" t="str">
        <x:v>BURN-450-549</x:v>
      </x:c>
      <x:c r="B209" s="41" t="str">
        <x:v>Burnsport</x:v>
      </x:c>
      <x:c r="C209" s="41" t="str">
        <x:v>450K-549K</x:v>
      </x:c>
      <x:c r="D209" s="41" t="n">
        <x:v>450000</x:v>
      </x:c>
      <x:c r="E209" s="41" t="n">
        <x:v>549999</x:v>
      </x:c>
      <x:c r="F209" s="41" t="n">
        <x:v>3</x:v>
      </x:c>
      <x:c r="G209" s="41" t="str">
        <x:v>Strength</x:v>
      </x:c>
      <x:c r="H209" s="41" t="str">
        <x:v>Back</x:v>
      </x:c>
      <x:c r="I209" s="41" t="str">
        <x:v>strength_back</x:v>
      </x:c>
      <x:c r="J209" s="41" t="str">
        <x:v>HM-1018</x:v>
      </x:c>
      <x:c r="K209" s="41" t="str">
        <x:v>Iso-lateral High Row</x:v>
      </x:c>
      <x:c r="L209" s="41" t="str">
        <x:v>Burnsport</x:v>
      </x:c>
      <x:c r="M209" s="41" t="n">
        <x:v>1</x:v>
      </x:c>
      <x:c r="N209" s="42" t="n">
        <x:v>10856</x:v>
      </x:c>
      <x:c r="O209" s="42" t="n">
        <x:f>M209*N209</x:f>
        <x:v>10856</x:v>
      </x:c>
      <x:c r="P209" s="50" t="n">
        <x:v>0.05</x:v>
      </x:c>
      <x:c r="Q209" s="42" t="n">
        <x:f>O209*P209</x:f>
        <x:v>542.8000000000001</x:v>
      </x:c>
      <x:c r="R209" s="42" t="n">
        <x:f>O209+Q209</x:f>
        <x:v>11398.8</x:v>
      </x:c>
      <x:c r="S209" s="41" t="str">
        <x:v>Burnsport default movement</x:v>
      </x:c>
      <x:c r="T209" s="41" t="n">
        <x:v>4</x:v>
      </x:c>
      <x:c r="U209" s="41" t="str">
        <x:v>No</x:v>
      </x:c>
      <x:c r="V209" s="41" t="str">
        <x:v>Use this movement priority; avoid duplicate movement filler.</x:v>
      </x:c>
    </x:row>
    <x:row r="210">
      <x:c r="A210" s="41" t="str">
        <x:v>BURN-450-549</x:v>
      </x:c>
      <x:c r="B210" s="41" t="str">
        <x:v>Burnsport</x:v>
      </x:c>
      <x:c r="C210" s="41" t="str">
        <x:v>450K-549K</x:v>
      </x:c>
      <x:c r="D210" s="41" t="n">
        <x:v>450000</x:v>
      </x:c>
      <x:c r="E210" s="41" t="n">
        <x:v>549999</x:v>
      </x:c>
      <x:c r="F210" s="41" t="n">
        <x:v>3</x:v>
      </x:c>
      <x:c r="G210" s="41" t="str">
        <x:v>Strength</x:v>
      </x:c>
      <x:c r="H210" s="41" t="str">
        <x:v>Arms</x:v>
      </x:c>
      <x:c r="I210" s="41" t="str">
        <x:v>strength_arms</x:v>
      </x:c>
      <x:c r="J210" s="41" t="str">
        <x:v>PRM-1009G</x:v>
      </x:c>
      <x:c r="K210" s="41" t="str">
        <x:v>Arm Curl</x:v>
      </x:c>
      <x:c r="L210" s="41" t="str">
        <x:v>Burnsport</x:v>
      </x:c>
      <x:c r="M210" s="41" t="n">
        <x:v>1</x:v>
      </x:c>
      <x:c r="N210" s="42" t="n">
        <x:v>10672</x:v>
      </x:c>
      <x:c r="O210" s="42" t="n">
        <x:f>M210*N210</x:f>
        <x:v>10672</x:v>
      </x:c>
      <x:c r="P210" s="50" t="n">
        <x:v>0.05</x:v>
      </x:c>
      <x:c r="Q210" s="42" t="n">
        <x:f>O210*P210</x:f>
        <x:v>533.6</x:v>
      </x:c>
      <x:c r="R210" s="42" t="n">
        <x:f>O210+Q210</x:f>
        <x:v>11205.6</x:v>
      </x:c>
      <x:c r="S210" s="41" t="str">
        <x:v>Burnsport default movement</x:v>
      </x:c>
      <x:c r="T210" s="41" t="n">
        <x:v>1</x:v>
      </x:c>
      <x:c r="U210" s="41" t="str">
        <x:v>No</x:v>
      </x:c>
      <x:c r="V210" s="41" t="str">
        <x:v>Use this movement priority; avoid duplicate movement filler.</x:v>
      </x:c>
    </x:row>
    <x:row r="211">
      <x:c r="A211" s="41" t="str">
        <x:v>BURN-450-549</x:v>
      </x:c>
      <x:c r="B211" s="41" t="str">
        <x:v>Burnsport</x:v>
      </x:c>
      <x:c r="C211" s="41" t="str">
        <x:v>450K-549K</x:v>
      </x:c>
      <x:c r="D211" s="41" t="n">
        <x:v>450000</x:v>
      </x:c>
      <x:c r="E211" s="41" t="n">
        <x:v>549999</x:v>
      </x:c>
      <x:c r="F211" s="41" t="n">
        <x:v>3</x:v>
      </x:c>
      <x:c r="G211" s="41" t="str">
        <x:v>Strength</x:v>
      </x:c>
      <x:c r="H211" s="41" t="str">
        <x:v>Arms</x:v>
      </x:c>
      <x:c r="I211" s="41" t="str">
        <x:v>strength_arms</x:v>
      </x:c>
      <x:c r="J211" s="41" t="str">
        <x:v>HM-3007</x:v>
      </x:c>
      <x:c r="K211" s="41" t="str">
        <x:v>Triceps Extension</x:v>
      </x:c>
      <x:c r="L211" s="41" t="str">
        <x:v>Burnsport</x:v>
      </x:c>
      <x:c r="M211" s="41" t="n">
        <x:v>1</x:v>
      </x:c>
      <x:c r="N211" s="42" t="n">
        <x:v>14536</x:v>
      </x:c>
      <x:c r="O211" s="42" t="n">
        <x:f>M211*N211</x:f>
        <x:v>14536</x:v>
      </x:c>
      <x:c r="P211" s="50" t="n">
        <x:v>0.05</x:v>
      </x:c>
      <x:c r="Q211" s="42" t="n">
        <x:f>O211*P211</x:f>
        <x:v>726.8000000000001</x:v>
      </x:c>
      <x:c r="R211" s="42" t="n">
        <x:f>O211+Q211</x:f>
        <x:v>15262.8</x:v>
      </x:c>
      <x:c r="S211" s="41" t="str">
        <x:v>Burnsport default movement</x:v>
      </x:c>
      <x:c r="T211" s="41" t="n">
        <x:v>2</x:v>
      </x:c>
      <x:c r="U211" s="41" t="str">
        <x:v>No</x:v>
      </x:c>
      <x:c r="V211" s="41" t="str">
        <x:v>Use this movement priority; avoid duplicate movement filler.</x:v>
      </x:c>
    </x:row>
    <x:row r="212">
      <x:c r="A212" s="41" t="str">
        <x:v>BURN-450-549</x:v>
      </x:c>
      <x:c r="B212" s="41" t="str">
        <x:v>Burnsport</x:v>
      </x:c>
      <x:c r="C212" s="41" t="str">
        <x:v>450K-549K</x:v>
      </x:c>
      <x:c r="D212" s="41" t="n">
        <x:v>450000</x:v>
      </x:c>
      <x:c r="E212" s="41" t="n">
        <x:v>549999</x:v>
      </x:c>
      <x:c r="F212" s="41" t="n">
        <x:v>3</x:v>
      </x:c>
      <x:c r="G212" s="41" t="str">
        <x:v>Strength</x:v>
      </x:c>
      <x:c r="H212" s="41" t="str">
        <x:v>Core / Abs</x:v>
      </x:c>
      <x:c r="I212" s="41" t="str">
        <x:v>strength_core_abs</x:v>
      </x:c>
      <x:c r="J212" s="41" t="str">
        <x:v>HM-3021</x:v>
      </x:c>
      <x:c r="K212" s="41" t="str">
        <x:v>Abdominal Crunch</x:v>
      </x:c>
      <x:c r="L212" s="41" t="str">
        <x:v>Burnsport</x:v>
      </x:c>
      <x:c r="M212" s="41" t="n">
        <x:v>1</x:v>
      </x:c>
      <x:c r="N212" s="42" t="n">
        <x:v>13156</x:v>
      </x:c>
      <x:c r="O212" s="42" t="n">
        <x:f>M212*N212</x:f>
        <x:v>13156</x:v>
      </x:c>
      <x:c r="P212" s="50" t="n">
        <x:v>0.05</x:v>
      </x:c>
      <x:c r="Q212" s="42" t="n">
        <x:f>O212*P212</x:f>
        <x:v>657.8000000000001</x:v>
      </x:c>
      <x:c r="R212" s="42" t="n">
        <x:f>O212+Q212</x:f>
        <x:v>13813.8</x:v>
      </x:c>
      <x:c r="S212" s="41" t="str">
        <x:v>Burnsport default movement</x:v>
      </x:c>
      <x:c r="T212" s="41" t="n">
        <x:v>1</x:v>
      </x:c>
      <x:c r="U212" s="41" t="str">
        <x:v>No</x:v>
      </x:c>
      <x:c r="V212" s="41" t="str">
        <x:v>Use this movement priority; avoid duplicate movement filler.</x:v>
      </x:c>
    </x:row>
    <x:row r="213">
      <x:c r="A213" s="41" t="str">
        <x:v>BURN-450-549</x:v>
      </x:c>
      <x:c r="B213" s="41" t="str">
        <x:v>Burnsport</x:v>
      </x:c>
      <x:c r="C213" s="41" t="str">
        <x:v>450K-549K</x:v>
      </x:c>
      <x:c r="D213" s="41" t="n">
        <x:v>450000</x:v>
      </x:c>
      <x:c r="E213" s="41" t="n">
        <x:v>549999</x:v>
      </x:c>
      <x:c r="F213" s="41" t="n">
        <x:v>3</x:v>
      </x:c>
      <x:c r="G213" s="41" t="str">
        <x:v>Strength</x:v>
      </x:c>
      <x:c r="H213" s="41" t="str">
        <x:v>Core / Abs</x:v>
      </x:c>
      <x:c r="I213" s="41" t="str">
        <x:v>strength_core_abs</x:v>
      </x:c>
      <x:c r="J213" s="41" t="str">
        <x:v>HM-1023</x:v>
      </x:c>
      <x:c r="K213" s="41" t="str">
        <x:v>Abdominal Oblique Crunch</x:v>
      </x:c>
      <x:c r="L213" s="41" t="str">
        <x:v>Burnsport</x:v>
      </x:c>
      <x:c r="M213" s="41" t="n">
        <x:v>1</x:v>
      </x:c>
      <x:c r="N213" s="42" t="n">
        <x:v>11776</x:v>
      </x:c>
      <x:c r="O213" s="42" t="n">
        <x:f>M213*N213</x:f>
        <x:v>11776</x:v>
      </x:c>
      <x:c r="P213" s="50" t="n">
        <x:v>0.05</x:v>
      </x:c>
      <x:c r="Q213" s="42" t="n">
        <x:f>O213*P213</x:f>
        <x:v>588.8000000000001</x:v>
      </x:c>
      <x:c r="R213" s="42" t="n">
        <x:f>O213+Q213</x:f>
        <x:v>12364.8</x:v>
      </x:c>
      <x:c r="S213" s="41" t="str">
        <x:v>Burnsport default movement</x:v>
      </x:c>
      <x:c r="T213" s="41" t="n">
        <x:v>2</x:v>
      </x:c>
      <x:c r="U213" s="41" t="str">
        <x:v>No</x:v>
      </x:c>
      <x:c r="V213" s="41" t="str">
        <x:v>Use this movement priority; avoid duplicate movement filler.</x:v>
      </x:c>
    </x:row>
    <x:row r="214">
      <x:c r="A214" s="41" t="str">
        <x:v>BURN-450-549</x:v>
      </x:c>
      <x:c r="B214" s="41" t="str">
        <x:v>Burnsport</x:v>
      </x:c>
      <x:c r="C214" s="41" t="str">
        <x:v>450K-549K</x:v>
      </x:c>
      <x:c r="D214" s="41" t="n">
        <x:v>450000</x:v>
      </x:c>
      <x:c r="E214" s="41" t="n">
        <x:v>549999</x:v>
      </x:c>
      <x:c r="F214" s="41" t="n">
        <x:v>3</x:v>
      </x:c>
      <x:c r="G214" s="41" t="str">
        <x:v>Strength</x:v>
      </x:c>
      <x:c r="H214" s="41" t="str">
        <x:v>Legs</x:v>
      </x:c>
      <x:c r="I214" s="41" t="str">
        <x:v>strength_legs</x:v>
      </x:c>
      <x:c r="J214" s="41" t="str">
        <x:v>PRM-1013</x:v>
      </x:c>
      <x:c r="K214" s="41" t="str">
        <x:v>Leg Press (PRM-1013)</x:v>
      </x:c>
      <x:c r="L214" s="41" t="str">
        <x:v>Burnsport</x:v>
      </x:c>
      <x:c r="M214" s="41" t="n">
        <x:v>1</x:v>
      </x:c>
      <x:c r="N214" s="42" t="n">
        <x:v>14352</x:v>
      </x:c>
      <x:c r="O214" s="42" t="n">
        <x:f>M214*N214</x:f>
        <x:v>14352</x:v>
      </x:c>
      <x:c r="P214" s="50" t="n">
        <x:v>0.05</x:v>
      </x:c>
      <x:c r="Q214" s="42" t="n">
        <x:f>O214*P214</x:f>
        <x:v>717.6</x:v>
      </x:c>
      <x:c r="R214" s="42" t="n">
        <x:f>O214+Q214</x:f>
        <x:v>15069.6</x:v>
      </x:c>
      <x:c r="S214" s="41" t="str">
        <x:v>Burnsport default movement</x:v>
      </x:c>
      <x:c r="T214" s="41" t="n">
        <x:v>1</x:v>
      </x:c>
      <x:c r="U214" s="41" t="str">
        <x:v>No</x:v>
      </x:c>
      <x:c r="V214" s="41" t="str">
        <x:v>Use this movement priority; avoid duplicate movement filler.</x:v>
      </x:c>
    </x:row>
    <x:row r="215">
      <x:c r="A215" s="41" t="str">
        <x:v>BURN-450-549</x:v>
      </x:c>
      <x:c r="B215" s="41" t="str">
        <x:v>Burnsport</x:v>
      </x:c>
      <x:c r="C215" s="41" t="str">
        <x:v>450K-549K</x:v>
      </x:c>
      <x:c r="D215" s="41" t="n">
        <x:v>450000</x:v>
      </x:c>
      <x:c r="E215" s="41" t="n">
        <x:v>549999</x:v>
      </x:c>
      <x:c r="F215" s="41" t="n">
        <x:v>3</x:v>
      </x:c>
      <x:c r="G215" s="41" t="str">
        <x:v>Strength</x:v>
      </x:c>
      <x:c r="H215" s="41" t="str">
        <x:v>Legs</x:v>
      </x:c>
      <x:c r="I215" s="41" t="str">
        <x:v>strength_legs</x:v>
      </x:c>
      <x:c r="J215" s="41" t="str">
        <x:v>HM-3009</x:v>
      </x:c>
      <x:c r="K215" s="41" t="str">
        <x:v>Seated Leg Extension</x:v>
      </x:c>
      <x:c r="L215" s="41" t="str">
        <x:v>Burnsport</x:v>
      </x:c>
      <x:c r="M215" s="41" t="n">
        <x:v>1</x:v>
      </x:c>
      <x:c r="N215" s="42" t="n">
        <x:v>14536</x:v>
      </x:c>
      <x:c r="O215" s="42" t="n">
        <x:f>M215*N215</x:f>
        <x:v>14536</x:v>
      </x:c>
      <x:c r="P215" s="50" t="n">
        <x:v>0.05</x:v>
      </x:c>
      <x:c r="Q215" s="42" t="n">
        <x:f>O215*P215</x:f>
        <x:v>726.8000000000001</x:v>
      </x:c>
      <x:c r="R215" s="42" t="n">
        <x:f>O215+Q215</x:f>
        <x:v>15262.8</x:v>
      </x:c>
      <x:c r="S215" s="41" t="str">
        <x:v>Burnsport default movement</x:v>
      </x:c>
      <x:c r="T215" s="41" t="n">
        <x:v>2</x:v>
      </x:c>
      <x:c r="U215" s="41" t="str">
        <x:v>No</x:v>
      </x:c>
      <x:c r="V215" s="41" t="str">
        <x:v>Use this movement priority; avoid duplicate movement filler.</x:v>
      </x:c>
    </x:row>
    <x:row r="216">
      <x:c r="A216" s="41" t="str">
        <x:v>BURN-450-549</x:v>
      </x:c>
      <x:c r="B216" s="41" t="str">
        <x:v>Burnsport</x:v>
      </x:c>
      <x:c r="C216" s="41" t="str">
        <x:v>450K-549K</x:v>
      </x:c>
      <x:c r="D216" s="41" t="n">
        <x:v>450000</x:v>
      </x:c>
      <x:c r="E216" s="41" t="n">
        <x:v>549999</x:v>
      </x:c>
      <x:c r="F216" s="41" t="n">
        <x:v>3</x:v>
      </x:c>
      <x:c r="G216" s="41" t="str">
        <x:v>Strength</x:v>
      </x:c>
      <x:c r="H216" s="41" t="str">
        <x:v>Legs</x:v>
      </x:c>
      <x:c r="I216" s="41" t="str">
        <x:v>strength_legs</x:v>
      </x:c>
      <x:c r="J216" s="41" t="str">
        <x:v>HM-3010</x:v>
      </x:c>
      <x:c r="K216" s="41" t="str">
        <x:v>Seated Leg Curl</x:v>
      </x:c>
      <x:c r="L216" s="41" t="str">
        <x:v>Burnsport</x:v>
      </x:c>
      <x:c r="M216" s="41" t="n">
        <x:v>1</x:v>
      </x:c>
      <x:c r="N216" s="42" t="n">
        <x:v>14536</x:v>
      </x:c>
      <x:c r="O216" s="42" t="n">
        <x:f>M216*N216</x:f>
        <x:v>14536</x:v>
      </x:c>
      <x:c r="P216" s="50" t="n">
        <x:v>0.05</x:v>
      </x:c>
      <x:c r="Q216" s="42" t="n">
        <x:f>O216*P216</x:f>
        <x:v>726.8000000000001</x:v>
      </x:c>
      <x:c r="R216" s="42" t="n">
        <x:f>O216+Q216</x:f>
        <x:v>15262.8</x:v>
      </x:c>
      <x:c r="S216" s="41" t="str">
        <x:v>Burnsport default movement</x:v>
      </x:c>
      <x:c r="T216" s="41" t="n">
        <x:v>3</x:v>
      </x:c>
      <x:c r="U216" s="41" t="str">
        <x:v>No</x:v>
      </x:c>
      <x:c r="V216" s="41" t="str">
        <x:v>Use this movement priority; avoid duplicate movement filler.</x:v>
      </x:c>
    </x:row>
    <x:row r="217">
      <x:c r="A217" s="41" t="str">
        <x:v>BURN-450-549</x:v>
      </x:c>
      <x:c r="B217" s="41" t="str">
        <x:v>Burnsport</x:v>
      </x:c>
      <x:c r="C217" s="41" t="str">
        <x:v>450K-549K</x:v>
      </x:c>
      <x:c r="D217" s="41" t="n">
        <x:v>450000</x:v>
      </x:c>
      <x:c r="E217" s="41" t="n">
        <x:v>549999</x:v>
      </x:c>
      <x:c r="F217" s="41" t="n">
        <x:v>3</x:v>
      </x:c>
      <x:c r="G217" s="41" t="str">
        <x:v>Strength</x:v>
      </x:c>
      <x:c r="H217" s="41" t="str">
        <x:v>Legs</x:v>
      </x:c>
      <x:c r="I217" s="41" t="str">
        <x:v>strength_legs</x:v>
      </x:c>
      <x:c r="J217" s="41" t="str">
        <x:v>RS-1002</x:v>
      </x:c>
      <x:c r="K217" s="41" t="str">
        <x:v>Hack Squat</x:v>
      </x:c>
      <x:c r="L217" s="41" t="str">
        <x:v>Burnsport</x:v>
      </x:c>
      <x:c r="M217" s="41" t="n">
        <x:v>1</x:v>
      </x:c>
      <x:c r="N217" s="42" t="n">
        <x:v>12861.6</x:v>
      </x:c>
      <x:c r="O217" s="42" t="n">
        <x:f>M217*N217</x:f>
        <x:v>12861.6</x:v>
      </x:c>
      <x:c r="P217" s="50" t="n">
        <x:v>0.05</x:v>
      </x:c>
      <x:c r="Q217" s="42" t="n">
        <x:f>O217*P217</x:f>
        <x:v>643.08</x:v>
      </x:c>
      <x:c r="R217" s="42" t="n">
        <x:f>O217+Q217</x:f>
        <x:v>13504.68</x:v>
      </x:c>
      <x:c r="S217" s="41" t="str">
        <x:v>Burnsport default movement</x:v>
      </x:c>
      <x:c r="T217" s="41" t="n">
        <x:v>4</x:v>
      </x:c>
      <x:c r="U217" s="41" t="str">
        <x:v>No</x:v>
      </x:c>
      <x:c r="V217" s="41" t="str">
        <x:v>Use this movement priority; avoid duplicate movement filler.</x:v>
      </x:c>
    </x:row>
    <x:row r="218">
      <x:c r="A218" s="41" t="str">
        <x:v>BURN-450-549</x:v>
      </x:c>
      <x:c r="B218" s="41" t="str">
        <x:v>Burnsport</x:v>
      </x:c>
      <x:c r="C218" s="41" t="str">
        <x:v>450K-549K</x:v>
      </x:c>
      <x:c r="D218" s="41" t="n">
        <x:v>450000</x:v>
      </x:c>
      <x:c r="E218" s="41" t="n">
        <x:v>549999</x:v>
      </x:c>
      <x:c r="F218" s="41" t="n">
        <x:v>3</x:v>
      </x:c>
      <x:c r="G218" s="41" t="str">
        <x:v>Strength</x:v>
      </x:c>
      <x:c r="H218" s="41" t="str">
        <x:v>Glutes</x:v>
      </x:c>
      <x:c r="I218" s="41" t="str">
        <x:v>strength_glutes</x:v>
      </x:c>
      <x:c r="J218" s="41" t="str">
        <x:v>HM-3017</x:v>
      </x:c>
      <x:c r="K218" s="41" t="str">
        <x:v>Hip Adduction</x:v>
      </x:c>
      <x:c r="L218" s="41" t="str">
        <x:v>Burnsport</x:v>
      </x:c>
      <x:c r="M218" s="41" t="n">
        <x:v>1</x:v>
      </x:c>
      <x:c r="N218" s="42" t="n">
        <x:v>14536</x:v>
      </x:c>
      <x:c r="O218" s="42" t="n">
        <x:f>M218*N218</x:f>
        <x:v>14536</x:v>
      </x:c>
      <x:c r="P218" s="50" t="n">
        <x:v>0.05</x:v>
      </x:c>
      <x:c r="Q218" s="42" t="n">
        <x:f>O218*P218</x:f>
        <x:v>726.8000000000001</x:v>
      </x:c>
      <x:c r="R218" s="42" t="n">
        <x:f>O218+Q218</x:f>
        <x:v>15262.8</x:v>
      </x:c>
      <x:c r="S218" s="41" t="str">
        <x:v>Burnsport default movement</x:v>
      </x:c>
      <x:c r="T218" s="41" t="n">
        <x:v>1</x:v>
      </x:c>
      <x:c r="U218" s="41" t="str">
        <x:v>No</x:v>
      </x:c>
      <x:c r="V218" s="41" t="str">
        <x:v>Use this movement priority; avoid duplicate movement filler.</x:v>
      </x:c>
    </x:row>
    <x:row r="219">
      <x:c r="A219" s="41" t="str">
        <x:v>BURN-450-549</x:v>
      </x:c>
      <x:c r="B219" s="41" t="str">
        <x:v>Burnsport</x:v>
      </x:c>
      <x:c r="C219" s="41" t="str">
        <x:v>450K-549K</x:v>
      </x:c>
      <x:c r="D219" s="41" t="n">
        <x:v>450000</x:v>
      </x:c>
      <x:c r="E219" s="41" t="n">
        <x:v>549999</x:v>
      </x:c>
      <x:c r="F219" s="41" t="n">
        <x:v>4</x:v>
      </x:c>
      <x:c r="G219" s="41" t="str">
        <x:v>Benches</x:v>
      </x:c>
      <x:c r="H219" s="41" t="str">
        <x:v>Adjustable Bench</x:v>
      </x:c>
      <x:c r="I219" s="41" t="str">
        <x:v>benches_adjustable_bench</x:v>
      </x:c>
      <x:c r="J219" s="41" t="str">
        <x:v>HM-2009C</x:v>
      </x:c>
      <x:c r="K219" s="41" t="str">
        <x:v>Multi-Adjustable Bench</x:v>
      </x:c>
      <x:c r="L219" s="41" t="str">
        <x:v>Burnsport</x:v>
      </x:c>
      <x:c r="M219" s="41" t="n">
        <x:v>3</x:v>
      </x:c>
      <x:c r="N219" s="42" t="n">
        <x:v>4324</x:v>
      </x:c>
      <x:c r="O219" s="42" t="n">
        <x:f>M219*N219</x:f>
        <x:v>12972</x:v>
      </x:c>
      <x:c r="P219" s="50" t="n">
        <x:v>0.05</x:v>
      </x:c>
      <x:c r="Q219" s="42" t="n">
        <x:f>O219*P219</x:f>
        <x:v>648.6</x:v>
      </x:c>
      <x:c r="R219" s="42" t="n">
        <x:f>O219+Q219</x:f>
        <x:v>13620.6</x:v>
      </x:c>
      <x:c r="S219" s="41" t="str">
        <x:v>Budget-tier quantity</x:v>
      </x:c>
      <x:c r="T219" s="41" t="n">
        <x:v>1</x:v>
      </x:c>
      <x:c r="U219" s="41" t="str">
        <x:v>No</x:v>
      </x:c>
      <x:c r="V219" s="41" t="str">
        <x:v>Bench quantity scales with gym capacity.</x:v>
      </x:c>
    </x:row>
    <x:row r="220">
      <x:c r="A220" s="41" t="str">
        <x:v>BURN-450-549</x:v>
      </x:c>
      <x:c r="B220" s="41" t="str">
        <x:v>Burnsport</x:v>
      </x:c>
      <x:c r="C220" s="41" t="str">
        <x:v>450K-549K</x:v>
      </x:c>
      <x:c r="D220" s="41" t="n">
        <x:v>450000</x:v>
      </x:c>
      <x:c r="E220" s="41" t="n">
        <x:v>549999</x:v>
      </x:c>
      <x:c r="F220" s="41" t="n">
        <x:v>4</x:v>
      </x:c>
      <x:c r="G220" s="41" t="str">
        <x:v>Benches</x:v>
      </x:c>
      <x:c r="H220" s="41" t="str">
        <x:v>Flat Bench</x:v>
      </x:c>
      <x:c r="I220" s="41" t="str">
        <x:v>benches_flat_bench</x:v>
      </x:c>
      <x:c r="J220" s="41" t="str">
        <x:v>HM-2008</x:v>
      </x:c>
      <x:c r="K220" s="41" t="str">
        <x:v>Flat Bench</x:v>
      </x:c>
      <x:c r="L220" s="41" t="str">
        <x:v>Burnsport</x:v>
      </x:c>
      <x:c r="M220" s="41" t="n">
        <x:v>2</x:v>
      </x:c>
      <x:c r="N220" s="42" t="n">
        <x:v>2392</x:v>
      </x:c>
      <x:c r="O220" s="42" t="n">
        <x:f>M220*N220</x:f>
        <x:v>4784</x:v>
      </x:c>
      <x:c r="P220" s="50" t="n">
        <x:v>0.05</x:v>
      </x:c>
      <x:c r="Q220" s="42" t="n">
        <x:f>O220*P220</x:f>
        <x:v>239.20000000000002</x:v>
      </x:c>
      <x:c r="R220" s="42" t="n">
        <x:f>O220+Q220</x:f>
        <x:v>5023.2</x:v>
      </x:c>
      <x:c r="S220" s="41" t="str">
        <x:v>Budget-tier quantity</x:v>
      </x:c>
      <x:c r="T220" s="41" t="n">
        <x:v>2</x:v>
      </x:c>
      <x:c r="U220" s="41" t="str">
        <x:v>No</x:v>
      </x:c>
      <x:c r="V220" s="41" t="str">
        <x:v>Bench quantity scales with gym capacity.</x:v>
      </x:c>
    </x:row>
    <x:row r="221">
      <x:c r="A221" s="41" t="str">
        <x:v>BURN-450-549</x:v>
      </x:c>
      <x:c r="B221" s="41" t="str">
        <x:v>Burnsport</x:v>
      </x:c>
      <x:c r="C221" s="41" t="str">
        <x:v>450K-549K</x:v>
      </x:c>
      <x:c r="D221" s="41" t="n">
        <x:v>450000</x:v>
      </x:c>
      <x:c r="E221" s="41" t="n">
        <x:v>549999</x:v>
      </x:c>
      <x:c r="F221" s="41" t="n">
        <x:v>4</x:v>
      </x:c>
      <x:c r="G221" s="41" t="str">
        <x:v>Benches</x:v>
      </x:c>
      <x:c r="H221" s="41" t="str">
        <x:v>Adjustable Crunch Bench</x:v>
      </x:c>
      <x:c r="I221" s="41" t="str">
        <x:v>benches_adjustable_crunch_bench</x:v>
      </x:c>
      <x:c r="J221" s="41" t="str">
        <x:v>HM-2006</x:v>
      </x:c>
      <x:c r="K221" s="41" t="str">
        <x:v>Decline Bench</x:v>
      </x:c>
      <x:c r="L221" s="41" t="str">
        <x:v>Burnsport</x:v>
      </x:c>
      <x:c r="M221" s="41" t="n">
        <x:v>1</x:v>
      </x:c>
      <x:c r="N221" s="42" t="n">
        <x:v>3404</x:v>
      </x:c>
      <x:c r="O221" s="42" t="n">
        <x:f>M221*N221</x:f>
        <x:v>3404</x:v>
      </x:c>
      <x:c r="P221" s="50" t="n">
        <x:v>0.05</x:v>
      </x:c>
      <x:c r="Q221" s="42" t="n">
        <x:f>O221*P221</x:f>
        <x:v>170.20000000000002</x:v>
      </x:c>
      <x:c r="R221" s="42" t="n">
        <x:f>O221+Q221</x:f>
        <x:v>3574.2</x:v>
      </x:c>
      <x:c r="S221" s="41" t="str">
        <x:v>Budget-tier quantity</x:v>
      </x:c>
      <x:c r="T221" s="41" t="n">
        <x:v>3</x:v>
      </x:c>
      <x:c r="U221" s="41" t="str">
        <x:v>Yes</x:v>
      </x:c>
      <x:c r="V221" s="41" t="str">
        <x:v>Closest actual Burnsport bench match is HM-2006 Decline Bench; verify before fully automatic selection.</x:v>
      </x:c>
    </x:row>
    <x:row r="222">
      <x:c r="A222" s="41" t="str">
        <x:v>BURN-450-549</x:v>
      </x:c>
      <x:c r="B222" s="41" t="str">
        <x:v>Burnsport</x:v>
      </x:c>
      <x:c r="C222" s="41" t="str">
        <x:v>450K-549K</x:v>
      </x:c>
      <x:c r="D222" s="41" t="n">
        <x:v>450000</x:v>
      </x:c>
      <x:c r="E222" s="41" t="n">
        <x:v>549999</x:v>
      </x:c>
      <x:c r="F222" s="41" t="n">
        <x:v>4</x:v>
      </x:c>
      <x:c r="G222" s="41" t="str">
        <x:v>Benches</x:v>
      </x:c>
      <x:c r="H222" s="41" t="str">
        <x:v>Lower Back Bench</x:v>
      </x:c>
      <x:c r="I222" s="41" t="str">
        <x:v>benches_lower_back_bench</x:v>
      </x:c>
      <x:c r="J222" s="41" t="str">
        <x:v>HM-3022</x:v>
      </x:c>
      <x:c r="K222" s="41" t="str">
        <x:v>Back Extension</x:v>
      </x:c>
      <x:c r="L222" s="41" t="str">
        <x:v>Burnsport</x:v>
      </x:c>
      <x:c r="M222" s="41" t="n">
        <x:v>1</x:v>
      </x:c>
      <x:c r="N222" s="42" t="n">
        <x:v>13156</x:v>
      </x:c>
      <x:c r="O222" s="42" t="n">
        <x:f>M222*N222</x:f>
        <x:v>13156</x:v>
      </x:c>
      <x:c r="P222" s="50" t="n">
        <x:v>0.05</x:v>
      </x:c>
      <x:c r="Q222" s="42" t="n">
        <x:f>O222*P222</x:f>
        <x:v>657.8000000000001</x:v>
      </x:c>
      <x:c r="R222" s="42" t="n">
        <x:f>O222+Q222</x:f>
        <x:v>13813.8</x:v>
      </x:c>
      <x:c r="S222" s="41" t="str">
        <x:v>Budget-tier quantity</x:v>
      </x:c>
      <x:c r="T222" s="41" t="n">
        <x:v>4</x:v>
      </x:c>
      <x:c r="U222" s="41" t="str">
        <x:v>Yes</x:v>
      </x:c>
      <x:c r="V222" s="41" t="str">
        <x:v>No dedicated Burnsport lower-back bench found; HM-3022 Back Extension machine is used as the current equivalent.</x:v>
      </x:c>
    </x:row>
    <x:row r="223">
      <x:c r="A223" s="41" t="str">
        <x:v>BURN-450-549</x:v>
      </x:c>
      <x:c r="B223" s="41" t="str">
        <x:v>Burnsport</x:v>
      </x:c>
      <x:c r="C223" s="41" t="str">
        <x:v>450K-549K</x:v>
      </x:c>
      <x:c r="D223" s="41" t="n">
        <x:v>450000</x:v>
      </x:c>
      <x:c r="E223" s="41" t="n">
        <x:v>549999</x:v>
      </x:c>
      <x:c r="F223" s="41" t="n">
        <x:v>4</x:v>
      </x:c>
      <x:c r="G223" s="41" t="str">
        <x:v>Benches</x:v>
      </x:c>
      <x:c r="H223" s="41" t="str">
        <x:v>Olympic Flat Bench</x:v>
      </x:c>
      <x:c r="I223" s="41" t="str">
        <x:v>benches_olympic_flat_bench</x:v>
      </x:c>
      <x:c r="J223" s="41" t="str">
        <x:v>HM-2002</x:v>
      </x:c>
      <x:c r="K223" s="41" t="str">
        <x:v>Olympic Flat Bench</x:v>
      </x:c>
      <x:c r="L223" s="41" t="str">
        <x:v>Burnsport</x:v>
      </x:c>
      <x:c r="M223" s="41" t="n">
        <x:v>1</x:v>
      </x:c>
      <x:c r="N223" s="42" t="n">
        <x:v>4416</x:v>
      </x:c>
      <x:c r="O223" s="42" t="n">
        <x:f>M223*N223</x:f>
        <x:v>4416</x:v>
      </x:c>
      <x:c r="P223" s="50" t="n">
        <x:v>0.05</x:v>
      </x:c>
      <x:c r="Q223" s="42" t="n">
        <x:f>O223*P223</x:f>
        <x:v>220.8</x:v>
      </x:c>
      <x:c r="R223" s="42" t="n">
        <x:f>O223+Q223</x:f>
        <x:v>4636.8</x:v>
      </x:c>
      <x:c r="S223" s="41" t="str">
        <x:v>Budget-tier quantity</x:v>
      </x:c>
      <x:c r="T223" s="41" t="n">
        <x:v>5</x:v>
      </x:c>
      <x:c r="U223" s="41" t="str">
        <x:v>No</x:v>
      </x:c>
      <x:c r="V223" s="41" t="str">
        <x:v>Bench quantity scales with gym capacity.</x:v>
      </x:c>
    </x:row>
    <x:row r="224">
      <x:c r="A224" s="41" t="str">
        <x:v>BURN-450-549</x:v>
      </x:c>
      <x:c r="B224" s="41" t="str">
        <x:v>Burnsport</x:v>
      </x:c>
      <x:c r="C224" s="41" t="str">
        <x:v>450K-549K</x:v>
      </x:c>
      <x:c r="D224" s="41" t="n">
        <x:v>450000</x:v>
      </x:c>
      <x:c r="E224" s="41" t="n">
        <x:v>549999</x:v>
      </x:c>
      <x:c r="F224" s="41" t="n">
        <x:v>4</x:v>
      </x:c>
      <x:c r="G224" s="41" t="str">
        <x:v>Benches</x:v>
      </x:c>
      <x:c r="H224" s="41" t="str">
        <x:v>Olympic Incline Bench</x:v>
      </x:c>
      <x:c r="I224" s="41" t="str">
        <x:v>benches_olympic_incline_bench</x:v>
      </x:c>
      <x:c r="J224" s="41" t="str">
        <x:v>HM-2001</x:v>
      </x:c>
      <x:c r="K224" s="41" t="str">
        <x:v>Olympic Incline Bench</x:v>
      </x:c>
      <x:c r="L224" s="41" t="str">
        <x:v>Burnsport</x:v>
      </x:c>
      <x:c r="M224" s="41" t="n">
        <x:v>1</x:v>
      </x:c>
      <x:c r="N224" s="42" t="n">
        <x:v>5428</x:v>
      </x:c>
      <x:c r="O224" s="42" t="n">
        <x:f>M224*N224</x:f>
        <x:v>5428</x:v>
      </x:c>
      <x:c r="P224" s="50" t="n">
        <x:v>0.05</x:v>
      </x:c>
      <x:c r="Q224" s="42" t="n">
        <x:f>O224*P224</x:f>
        <x:v>271.40000000000003</x:v>
      </x:c>
      <x:c r="R224" s="42" t="n">
        <x:f>O224+Q224</x:f>
        <x:v>5699.4</x:v>
      </x:c>
      <x:c r="S224" s="41" t="str">
        <x:v>Budget-tier quantity</x:v>
      </x:c>
      <x:c r="T224" s="41" t="n">
        <x:v>6</x:v>
      </x:c>
      <x:c r="U224" s="41" t="str">
        <x:v>No</x:v>
      </x:c>
      <x:c r="V224" s="41" t="str">
        <x:v>Bench quantity scales with gym capacity.</x:v>
      </x:c>
    </x:row>
    <x:row r="225">
      <x:c r="A225" s="41" t="str">
        <x:v>BURN-450-549</x:v>
      </x:c>
      <x:c r="B225" s="41" t="str">
        <x:v>Burnsport</x:v>
      </x:c>
      <x:c r="C225" s="41" t="str">
        <x:v>450K-549K</x:v>
      </x:c>
      <x:c r="D225" s="41" t="n">
        <x:v>450000</x:v>
      </x:c>
      <x:c r="E225" s="41" t="n">
        <x:v>549999</x:v>
      </x:c>
      <x:c r="F225" s="41" t="n">
        <x:v>5</x:v>
      </x:c>
      <x:c r="G225" s="41" t="str">
        <x:v>Free Weights</x:v>
      </x:c>
      <x:c r="H225" s="41" t="str">
        <x:v>Dumbbell Full Set 2.5–50kg</x:v>
      </x:c>
      <x:c r="I225" s="41" t="str">
        <x:v>free_weights_dumbbell_full_set_2_5_50kg</x:v>
      </x:c>
      <x:c r="J225" s="41" t="str">
        <x:v>BRN-001-2</x:v>
      </x:c>
      <x:c r="K225" s="41" t="str">
        <x:v>PU Dumbbells Set - 2.5–50 kg</x:v>
      </x:c>
      <x:c r="L225" s="41" t="str">
        <x:v>Burnsport</x:v>
      </x:c>
      <x:c r="M225" s="41" t="n">
        <x:v>1</x:v>
      </x:c>
      <x:c r="N225" s="42" t="n">
        <x:v>16500</x:v>
      </x:c>
      <x:c r="O225" s="42" t="n">
        <x:f>M225*N225</x:f>
        <x:v>16500</x:v>
      </x:c>
      <x:c r="P225" s="50" t="n">
        <x:v>0.05</x:v>
      </x:c>
      <x:c r="Q225" s="42" t="n">
        <x:f>O225*P225</x:f>
        <x:v>825</x:v>
      </x:c>
      <x:c r="R225" s="42" t="n">
        <x:f>O225+Q225</x:f>
        <x:v>17325</x:v>
      </x:c>
      <x:c r="S225" s="41" t="str">
        <x:v>Brand-matched bundle</x:v>
      </x:c>
      <x:c r="T225" s="41" t="n">
        <x:v>1</x:v>
      </x:c>
      <x:c r="U225" s="41" t="str">
        <x:v>No</x:v>
      </x:c>
      <x:c r="V225" s="41" t="str">
        <x:v>Full set requires exactly 2 matching dumbbell racks.</x:v>
      </x:c>
    </x:row>
    <x:row r="226">
      <x:c r="A226" s="41" t="str">
        <x:v>BURN-450-549</x:v>
      </x:c>
      <x:c r="B226" s="41" t="str">
        <x:v>Burnsport</x:v>
      </x:c>
      <x:c r="C226" s="41" t="str">
        <x:v>450K-549K</x:v>
      </x:c>
      <x:c r="D226" s="41" t="n">
        <x:v>450000</x:v>
      </x:c>
      <x:c r="E226" s="41" t="n">
        <x:v>549999</x:v>
      </x:c>
      <x:c r="F226" s="41" t="n">
        <x:v>5</x:v>
      </x:c>
      <x:c r="G226" s="41" t="str">
        <x:v>Free Weights</x:v>
      </x:c>
      <x:c r="H226" s="41" t="str">
        <x:v>Dumbbell Half Set 2.5–25kg</x:v>
      </x:c>
      <x:c r="I226" s="41" t="str">
        <x:v>free_weights_dumbbell_half_set_2_5_25kg</x:v>
      </x:c>
      <x:c r="J226" s="41" t="str">
        <x:v>BRN-001-1</x:v>
      </x:c>
      <x:c r="K226" s="41" t="str">
        <x:v>PU Dumbbells Set - 2.5–25 kg</x:v>
      </x:c>
      <x:c r="L226" s="41" t="str">
        <x:v>Burnsport</x:v>
      </x:c>
      <x:c r="M226" s="41" t="n">
        <x:v>1</x:v>
      </x:c>
      <x:c r="N226" s="42" t="n">
        <x:v>6000</x:v>
      </x:c>
      <x:c r="O226" s="42" t="n">
        <x:f>M226*N226</x:f>
        <x:v>6000</x:v>
      </x:c>
      <x:c r="P226" s="50" t="n">
        <x:v>0.05</x:v>
      </x:c>
      <x:c r="Q226" s="42" t="n">
        <x:f>O226*P226</x:f>
        <x:v>300</x:v>
      </x:c>
      <x:c r="R226" s="42" t="n">
        <x:f>O226+Q226</x:f>
        <x:v>6300</x:v>
      </x:c>
      <x:c r="S226" s="41" t="str">
        <x:v>Brand-matched bundle</x:v>
      </x:c>
      <x:c r="T226" s="41" t="n">
        <x:v>2</x:v>
      </x:c>
      <x:c r="U226" s="41" t="str">
        <x:v>No</x:v>
      </x:c>
      <x:c r="V226" s="41" t="str">
        <x:v>Half set requires exactly 1 additional matching rack.</x:v>
      </x:c>
    </x:row>
    <x:row r="227">
      <x:c r="A227" s="41" t="str">
        <x:v>BURN-450-549</x:v>
      </x:c>
      <x:c r="B227" s="41" t="str">
        <x:v>Burnsport</x:v>
      </x:c>
      <x:c r="C227" s="41" t="str">
        <x:v>450K-549K</x:v>
      </x:c>
      <x:c r="D227" s="41" t="n">
        <x:v>450000</x:v>
      </x:c>
      <x:c r="E227" s="41" t="n">
        <x:v>549999</x:v>
      </x:c>
      <x:c r="F227" s="41" t="n">
        <x:v>5</x:v>
      </x:c>
      <x:c r="G227" s="41" t="str">
        <x:v>Free Weights</x:v>
      </x:c>
      <x:c r="H227" s="41" t="str">
        <x:v>Dumbbell Rack</x:v>
      </x:c>
      <x:c r="I227" s="41" t="str">
        <x:v>free_weights_dumbbell_rack</x:v>
      </x:c>
      <x:c r="J227" s="41" t="str">
        <x:v>HM-2017</x:v>
      </x:c>
      <x:c r="K227" s="41" t="str">
        <x:v>Dumbbell Rack - Two Tier</x:v>
      </x:c>
      <x:c r="L227" s="41" t="str">
        <x:v>Burnsport</x:v>
      </x:c>
      <x:c r="M227" s="41" t="n">
        <x:v>3</x:v>
      </x:c>
      <x:c r="N227" s="42" t="n">
        <x:v>3312</x:v>
      </x:c>
      <x:c r="O227" s="42" t="n">
        <x:f>M227*N227</x:f>
        <x:v>9936</x:v>
      </x:c>
      <x:c r="P227" s="50" t="n">
        <x:v>0.05</x:v>
      </x:c>
      <x:c r="Q227" s="42" t="n">
        <x:f>O227*P227</x:f>
        <x:v>496.8</x:v>
      </x:c>
      <x:c r="R227" s="42" t="n">
        <x:f>O227+Q227</x:f>
        <x:v>10432.8</x:v>
      </x:c>
      <x:c r="S227" s="41" t="str">
        <x:v>Derived from dumbbell bundle</x:v>
      </x:c>
      <x:c r="T227" s="41" t="n">
        <x:v>3</x:v>
      </x:c>
      <x:c r="U227" s="41" t="str">
        <x:v>No</x:v>
      </x:c>
      <x:c r="V227" s="41" t="str">
        <x:v>2 racks per full set; 1 rack per half set.</x:v>
      </x:c>
    </x:row>
    <x:row r="228">
      <x:c r="A228" s="41" t="str">
        <x:v>BURN-450-549</x:v>
      </x:c>
      <x:c r="B228" s="41" t="str">
        <x:v>Burnsport</x:v>
      </x:c>
      <x:c r="C228" s="41" t="str">
        <x:v>450K-549K</x:v>
      </x:c>
      <x:c r="D228" s="41" t="n">
        <x:v>450000</x:v>
      </x:c>
      <x:c r="E228" s="41" t="n">
        <x:v>549999</x:v>
      </x:c>
      <x:c r="F228" s="41" t="n">
        <x:v>5</x:v>
      </x:c>
      <x:c r="G228" s="41" t="str">
        <x:v>Free Weights</x:v>
      </x:c>
      <x:c r="H228" s="41" t="str">
        <x:v>PU Weight Plate 2.5kg</x:v>
      </x:c>
      <x:c r="I228" s="41" t="str">
        <x:v>free_weights_pu_weight_plate_2_5kg</x:v>
      </x:c>
      <x:c r="J228" s="41" t="str">
        <x:v>BRN-003</x:v>
      </x:c>
      <x:c r="K228" s="41" t="str">
        <x:v>PU Weight Plate - 2.5 kg</x:v>
      </x:c>
      <x:c r="L228" s="41" t="str">
        <x:v>Burnsport</x:v>
      </x:c>
      <x:c r="M228" s="41" t="n">
        <x:v>14</x:v>
      </x:c>
      <x:c r="N228" s="42" t="n">
        <x:v>45</x:v>
      </x:c>
      <x:c r="O228" s="42" t="n">
        <x:f>M228*N228</x:f>
        <x:v>630</x:v>
      </x:c>
      <x:c r="P228" s="50" t="n">
        <x:v>0.05</x:v>
      </x:c>
      <x:c r="Q228" s="42" t="n">
        <x:f>O228*P228</x:f>
        <x:v>31.5</x:v>
      </x:c>
      <x:c r="R228" s="42" t="n">
        <x:f>O228+Q228</x:f>
        <x:v>661.5</x:v>
      </x:c>
      <x:c r="S228" s="41" t="str">
        <x:v>Brand + premium family locked</x:v>
      </x:c>
      <x:c r="T228" s="41" t="n">
        <x:v>11</x:v>
      </x:c>
      <x:c r="U228" s="41" t="str">
        <x:v>No</x:v>
      </x:c>
      <x:c r="V228" s="41" t="str">
        <x:v>14 pcs each size. One complete family only; never mix plate families.</x:v>
      </x:c>
    </x:row>
    <x:row r="229">
      <x:c r="A229" s="41" t="str">
        <x:v>BURN-450-549</x:v>
      </x:c>
      <x:c r="B229" s="41" t="str">
        <x:v>Burnsport</x:v>
      </x:c>
      <x:c r="C229" s="41" t="str">
        <x:v>450K-549K</x:v>
      </x:c>
      <x:c r="D229" s="41" t="n">
        <x:v>450000</x:v>
      </x:c>
      <x:c r="E229" s="41" t="n">
        <x:v>549999</x:v>
      </x:c>
      <x:c r="F229" s="41" t="n">
        <x:v>5</x:v>
      </x:c>
      <x:c r="G229" s="41" t="str">
        <x:v>Free Weights</x:v>
      </x:c>
      <x:c r="H229" s="41" t="str">
        <x:v>PU Weight Plate 5kg</x:v>
      </x:c>
      <x:c r="I229" s="41" t="str">
        <x:v>free_weights_pu_weight_plate_5kg</x:v>
      </x:c>
      <x:c r="J229" s="41" t="str">
        <x:v>BRN-003-2</x:v>
      </x:c>
      <x:c r="K229" s="41" t="str">
        <x:v>PU Weight Plate - 5 kg</x:v>
      </x:c>
      <x:c r="L229" s="41" t="str">
        <x:v>Burnsport</x:v>
      </x:c>
      <x:c r="M229" s="41" t="n">
        <x:v>14</x:v>
      </x:c>
      <x:c r="N229" s="42" t="n">
        <x:v>90</x:v>
      </x:c>
      <x:c r="O229" s="42" t="n">
        <x:f>M229*N229</x:f>
        <x:v>1260</x:v>
      </x:c>
      <x:c r="P229" s="50" t="n">
        <x:v>0.05</x:v>
      </x:c>
      <x:c r="Q229" s="42" t="n">
        <x:f>O229*P229</x:f>
        <x:v>63</x:v>
      </x:c>
      <x:c r="R229" s="42" t="n">
        <x:f>O229+Q229</x:f>
        <x:v>1323</x:v>
      </x:c>
      <x:c r="S229" s="41" t="str">
        <x:v>Brand + premium family locked</x:v>
      </x:c>
      <x:c r="T229" s="41" t="n">
        <x:v>12</x:v>
      </x:c>
      <x:c r="U229" s="41" t="str">
        <x:v>No</x:v>
      </x:c>
      <x:c r="V229" s="41" t="str">
        <x:v>14 pcs each size. One complete family only; never mix plate families.</x:v>
      </x:c>
    </x:row>
    <x:row r="230">
      <x:c r="A230" s="41" t="str">
        <x:v>BURN-450-549</x:v>
      </x:c>
      <x:c r="B230" s="41" t="str">
        <x:v>Burnsport</x:v>
      </x:c>
      <x:c r="C230" s="41" t="str">
        <x:v>450K-549K</x:v>
      </x:c>
      <x:c r="D230" s="41" t="n">
        <x:v>450000</x:v>
      </x:c>
      <x:c r="E230" s="41" t="n">
        <x:v>549999</x:v>
      </x:c>
      <x:c r="F230" s="41" t="n">
        <x:v>5</x:v>
      </x:c>
      <x:c r="G230" s="41" t="str">
        <x:v>Free Weights</x:v>
      </x:c>
      <x:c r="H230" s="41" t="str">
        <x:v>PU Weight Plate 10kg</x:v>
      </x:c>
      <x:c r="I230" s="41" t="str">
        <x:v>free_weights_pu_weight_plate_10kg</x:v>
      </x:c>
      <x:c r="J230" s="41" t="str">
        <x:v>BRN-003-3</x:v>
      </x:c>
      <x:c r="K230" s="41" t="str">
        <x:v>PU Weight Plate - 10 kg</x:v>
      </x:c>
      <x:c r="L230" s="41" t="str">
        <x:v>Burnsport</x:v>
      </x:c>
      <x:c r="M230" s="41" t="n">
        <x:v>14</x:v>
      </x:c>
      <x:c r="N230" s="42" t="n">
        <x:v>180</x:v>
      </x:c>
      <x:c r="O230" s="42" t="n">
        <x:f>M230*N230</x:f>
        <x:v>2520</x:v>
      </x:c>
      <x:c r="P230" s="50" t="n">
        <x:v>0.05</x:v>
      </x:c>
      <x:c r="Q230" s="42" t="n">
        <x:f>O230*P230</x:f>
        <x:v>126</x:v>
      </x:c>
      <x:c r="R230" s="42" t="n">
        <x:f>O230+Q230</x:f>
        <x:v>2646</x:v>
      </x:c>
      <x:c r="S230" s="41" t="str">
        <x:v>Brand + premium family locked</x:v>
      </x:c>
      <x:c r="T230" s="41" t="n">
        <x:v>13</x:v>
      </x:c>
      <x:c r="U230" s="41" t="str">
        <x:v>No</x:v>
      </x:c>
      <x:c r="V230" s="41" t="str">
        <x:v>14 pcs each size. One complete family only; never mix plate families.</x:v>
      </x:c>
    </x:row>
    <x:row r="231">
      <x:c r="A231" s="41" t="str">
        <x:v>BURN-450-549</x:v>
      </x:c>
      <x:c r="B231" s="41" t="str">
        <x:v>Burnsport</x:v>
      </x:c>
      <x:c r="C231" s="41" t="str">
        <x:v>450K-549K</x:v>
      </x:c>
      <x:c r="D231" s="41" t="n">
        <x:v>450000</x:v>
      </x:c>
      <x:c r="E231" s="41" t="n">
        <x:v>549999</x:v>
      </x:c>
      <x:c r="F231" s="41" t="n">
        <x:v>5</x:v>
      </x:c>
      <x:c r="G231" s="41" t="str">
        <x:v>Free Weights</x:v>
      </x:c>
      <x:c r="H231" s="41" t="str">
        <x:v>PU Weight Plate 20kg</x:v>
      </x:c>
      <x:c r="I231" s="41" t="str">
        <x:v>free_weights_pu_weight_plate_20kg</x:v>
      </x:c>
      <x:c r="J231" s="41" t="str">
        <x:v>BRN-003-5</x:v>
      </x:c>
      <x:c r="K231" s="41" t="str">
        <x:v>PU Weight Plate - 20 kg</x:v>
      </x:c>
      <x:c r="L231" s="41" t="str">
        <x:v>Burnsport</x:v>
      </x:c>
      <x:c r="M231" s="41" t="n">
        <x:v>14</x:v>
      </x:c>
      <x:c r="N231" s="42" t="n">
        <x:v>360</x:v>
      </x:c>
      <x:c r="O231" s="42" t="n">
        <x:f>M231*N231</x:f>
        <x:v>5040</x:v>
      </x:c>
      <x:c r="P231" s="50" t="n">
        <x:v>0.05</x:v>
      </x:c>
      <x:c r="Q231" s="42" t="n">
        <x:f>O231*P231</x:f>
        <x:v>252</x:v>
      </x:c>
      <x:c r="R231" s="42" t="n">
        <x:f>O231+Q231</x:f>
        <x:v>5292</x:v>
      </x:c>
      <x:c r="S231" s="41" t="str">
        <x:v>Brand + premium family locked</x:v>
      </x:c>
      <x:c r="T231" s="41" t="n">
        <x:v>14</x:v>
      </x:c>
      <x:c r="U231" s="41" t="str">
        <x:v>No</x:v>
      </x:c>
      <x:c r="V231" s="41" t="str">
        <x:v>14 pcs each size. One complete family only; never mix plate families.</x:v>
      </x:c>
    </x:row>
    <x:row r="232">
      <x:c r="A232" s="41" t="str">
        <x:v>BURN-450-549</x:v>
      </x:c>
      <x:c r="B232" s="41" t="str">
        <x:v>Burnsport</x:v>
      </x:c>
      <x:c r="C232" s="41" t="str">
        <x:v>450K-549K</x:v>
      </x:c>
      <x:c r="D232" s="41" t="n">
        <x:v>450000</x:v>
      </x:c>
      <x:c r="E232" s="41" t="n">
        <x:v>549999</x:v>
      </x:c>
      <x:c r="F232" s="41" t="n">
        <x:v>5</x:v>
      </x:c>
      <x:c r="G232" s="41" t="str">
        <x:v>Free Weights</x:v>
      </x:c>
      <x:c r="H232" s="41" t="str">
        <x:v>Barbell Set</x:v>
      </x:c>
      <x:c r="I232" s="41" t="str">
        <x:v>free_weights_barbell_set</x:v>
      </x:c>
      <x:c r="J232" s="41" t="str">
        <x:v>PM3015-250</x:v>
      </x:c>
      <x:c r="K232" s="41" t="str">
        <x:v>Rubber Coated Barbell Set - (250 kg)</x:v>
      </x:c>
      <x:c r="L232" s="41" t="str">
        <x:v>Premier</x:v>
      </x:c>
      <x:c r="M232" s="41" t="n">
        <x:v>1</x:v>
      </x:c>
      <x:c r="N232" s="42" t="n">
        <x:v>3750</x:v>
      </x:c>
      <x:c r="O232" s="42" t="n">
        <x:f>M232*N232</x:f>
        <x:v>3750</x:v>
      </x:c>
      <x:c r="P232" s="50" t="n">
        <x:v>0.05</x:v>
      </x:c>
      <x:c r="Q232" s="42" t="n">
        <x:f>O232*P232</x:f>
        <x:v>187.5</x:v>
      </x:c>
      <x:c r="R232" s="42" t="n">
        <x:f>O232+Q232</x:f>
        <x:v>3937.5</x:v>
      </x:c>
      <x:c r="S232" s="41" t="str">
        <x:v>Complete set</x:v>
      </x:c>
      <x:c r="T232" s="41" t="n">
        <x:v>20</x:v>
      </x:c>
      <x:c r="U232" s="41" t="str">
        <x:v>Yes</x:v>
      </x:c>
      <x:c r="V232" s="41" t="str">
        <x:v>No Burnsport barbell set exists in the uploaded product list. Premier set is used as shared fallback; approval required before fully automatic use.</x:v>
      </x:c>
    </x:row>
    <x:row r="233">
      <x:c r="A233" s="41" t="str">
        <x:v>BURN-450-549</x:v>
      </x:c>
      <x:c r="B233" s="41" t="str">
        <x:v>Burnsport</x:v>
      </x:c>
      <x:c r="C233" s="41" t="str">
        <x:v>450K-549K</x:v>
      </x:c>
      <x:c r="D233" s="41" t="n">
        <x:v>450000</x:v>
      </x:c>
      <x:c r="E233" s="41" t="n">
        <x:v>549999</x:v>
      </x:c>
      <x:c r="F233" s="41" t="n">
        <x:v>5</x:v>
      </x:c>
      <x:c r="G233" s="41" t="str">
        <x:v>Free Weights</x:v>
      </x:c>
      <x:c r="H233" s="41" t="str">
        <x:v>Barbell Rack</x:v>
      </x:c>
      <x:c r="I233" s="41" t="str">
        <x:v>free_weights_barbell_rack</x:v>
      </x:c>
      <x:c r="J233" s="41" t="str">
        <x:v>HM-2023</x:v>
      </x:c>
      <x:c r="K233" s="41" t="str">
        <x:v>Barbell Rack</x:v>
      </x:c>
      <x:c r="L233" s="41" t="str">
        <x:v>Burnsport</x:v>
      </x:c>
      <x:c r="M233" s="41" t="n">
        <x:v>1</x:v>
      </x:c>
      <x:c r="N233" s="42" t="n">
        <x:v>4351.6</x:v>
      </x:c>
      <x:c r="O233" s="42" t="n">
        <x:f>M233*N233</x:f>
        <x:v>4351.6</x:v>
      </x:c>
      <x:c r="P233" s="50" t="n">
        <x:v>0.05</x:v>
      </x:c>
      <x:c r="Q233" s="42" t="n">
        <x:f>O233*P233</x:f>
        <x:v>217.58000000000004</x:v>
      </x:c>
      <x:c r="R233" s="42" t="n">
        <x:f>O233+Q233</x:f>
        <x:v>4569.18</x:v>
      </x:c>
      <x:c r="S233" s="41" t="str">
        <x:v>1 matching rack per set</x:v>
      </x:c>
      <x:c r="T233" s="41" t="n">
        <x:v>21</x:v>
      </x:c>
      <x:c r="U233" s="41" t="str">
        <x:v>No</x:v>
      </x:c>
      <x:c r="V233" s="41" t="str">
        <x:v>Rack brand follows the gym brand; 1 rack per barbell set.</x:v>
      </x:c>
    </x:row>
    <x:row r="234">
      <x:c r="A234" s="41" t="str">
        <x:v>BURN-550-700</x:v>
      </x:c>
      <x:c r="B234" s="41" t="str">
        <x:v>Burnsport</x:v>
      </x:c>
      <x:c r="C234" s="41" t="str">
        <x:v>550K-700K</x:v>
      </x:c>
      <x:c r="D234" s="41" t="n">
        <x:v>550000</x:v>
      </x:c>
      <x:c r="E234" s="41" t="n">
        <x:v>700000</x:v>
      </x:c>
      <x:c r="F234" s="41" t="n">
        <x:v>1</x:v>
      </x:c>
      <x:c r="G234" s="41" t="str">
        <x:v>Cardio</x:v>
      </x:c>
      <x:c r="H234" s="41" t="str">
        <x:v>Treadmill</x:v>
      </x:c>
      <x:c r="I234" s="41" t="str">
        <x:v>cardio_treadmill</x:v>
      </x:c>
      <x:c r="J234" s="41" t="str">
        <x:v>CD-001</x:v>
      </x:c>
      <x:c r="K234" s="41" t="str">
        <x:v>Commerical Treadmill</x:v>
      </x:c>
      <x:c r="L234" s="41" t="str">
        <x:v>Burnsport</x:v>
      </x:c>
      <x:c r="M234" s="41" t="n">
        <x:v>6</x:v>
      </x:c>
      <x:c r="N234" s="42" t="n">
        <x:v>12500</x:v>
      </x:c>
      <x:c r="O234" s="42" t="n">
        <x:f>M234*N234</x:f>
        <x:v>75000</x:v>
      </x:c>
      <x:c r="P234" s="50" t="n">
        <x:v>0.05</x:v>
      </x:c>
      <x:c r="Q234" s="42" t="n">
        <x:f>O234*P234</x:f>
        <x:v>3750</x:v>
      </x:c>
      <x:c r="R234" s="42" t="n">
        <x:f>O234+Q234</x:f>
        <x:v>78750</x:v>
      </x:c>
      <x:c r="S234" s="41" t="str">
        <x:v>Fixed role; quantity scales by budget</x:v>
      </x:c>
      <x:c r="T234" s="41" t="n">
        <x:v>1</x:v>
      </x:c>
      <x:c r="U234" s="41" t="str">
        <x:v>No</x:v>
      </x:c>
      <x:c r="V234" s="41" t="str"/>
    </x:row>
    <x:row r="235">
      <x:c r="A235" s="41" t="str">
        <x:v>BURN-550-700</x:v>
      </x:c>
      <x:c r="B235" s="41" t="str">
        <x:v>Burnsport</x:v>
      </x:c>
      <x:c r="C235" s="41" t="str">
        <x:v>550K-700K</x:v>
      </x:c>
      <x:c r="D235" s="41" t="n">
        <x:v>550000</x:v>
      </x:c>
      <x:c r="E235" s="41" t="n">
        <x:v>700000</x:v>
      </x:c>
      <x:c r="F235" s="41" t="n">
        <x:v>1</x:v>
      </x:c>
      <x:c r="G235" s="41" t="str">
        <x:v>Cardio</x:v>
      </x:c>
      <x:c r="H235" s="41" t="str">
        <x:v>Cross Trainer</x:v>
      </x:c>
      <x:c r="I235" s="41" t="str">
        <x:v>cardio_cross_trainer</x:v>
      </x:c>
      <x:c r="J235" s="41" t="str">
        <x:v>CD-002</x:v>
      </x:c>
      <x:c r="K235" s="41" t="str">
        <x:v>Elliptical Cross Trainer</x:v>
      </x:c>
      <x:c r="L235" s="41" t="str">
        <x:v>Burnsport</x:v>
      </x:c>
      <x:c r="M235" s="41" t="n">
        <x:v>3</x:v>
      </x:c>
      <x:c r="N235" s="42" t="n">
        <x:v>9000</x:v>
      </x:c>
      <x:c r="O235" s="42" t="n">
        <x:f>M235*N235</x:f>
        <x:v>27000</x:v>
      </x:c>
      <x:c r="P235" s="50" t="n">
        <x:v>0.05</x:v>
      </x:c>
      <x:c r="Q235" s="42" t="n">
        <x:f>O235*P235</x:f>
        <x:v>1350</x:v>
      </x:c>
      <x:c r="R235" s="42" t="n">
        <x:f>O235+Q235</x:f>
        <x:v>28350</x:v>
      </x:c>
      <x:c r="S235" s="41" t="str">
        <x:v>Fixed role; quantity scales by budget</x:v>
      </x:c>
      <x:c r="T235" s="41" t="n">
        <x:v>2</x:v>
      </x:c>
      <x:c r="U235" s="41" t="str">
        <x:v>No</x:v>
      </x:c>
      <x:c r="V235" s="41" t="str"/>
    </x:row>
    <x:row r="236">
      <x:c r="A236" s="41" t="str">
        <x:v>BURN-550-700</x:v>
      </x:c>
      <x:c r="B236" s="41" t="str">
        <x:v>Burnsport</x:v>
      </x:c>
      <x:c r="C236" s="41" t="str">
        <x:v>550K-700K</x:v>
      </x:c>
      <x:c r="D236" s="41" t="n">
        <x:v>550000</x:v>
      </x:c>
      <x:c r="E236" s="41" t="n">
        <x:v>700000</x:v>
      </x:c>
      <x:c r="F236" s="41" t="n">
        <x:v>1</x:v>
      </x:c>
      <x:c r="G236" s="41" t="str">
        <x:v>Cardio</x:v>
      </x:c>
      <x:c r="H236" s="41" t="str">
        <x:v>Upright Bike</x:v>
      </x:c>
      <x:c r="I236" s="41" t="str">
        <x:v>cardio_upright_bike</x:v>
      </x:c>
      <x:c r="J236" s="41" t="str">
        <x:v>CD-005</x:v>
      </x:c>
      <x:c r="K236" s="41" t="str">
        <x:v>Upright Bike</x:v>
      </x:c>
      <x:c r="L236" s="41" t="str">
        <x:v>Burnsport</x:v>
      </x:c>
      <x:c r="M236" s="41" t="n">
        <x:v>2</x:v>
      </x:c>
      <x:c r="N236" s="42" t="n">
        <x:v>6250</x:v>
      </x:c>
      <x:c r="O236" s="42" t="n">
        <x:f>M236*N236</x:f>
        <x:v>12500</x:v>
      </x:c>
      <x:c r="P236" s="50" t="n">
        <x:v>0.05</x:v>
      </x:c>
      <x:c r="Q236" s="42" t="n">
        <x:f>O236*P236</x:f>
        <x:v>625</x:v>
      </x:c>
      <x:c r="R236" s="42" t="n">
        <x:f>O236+Q236</x:f>
        <x:v>13125</x:v>
      </x:c>
      <x:c r="S236" s="41" t="str">
        <x:v>Fixed role; quantity scales by budget</x:v>
      </x:c>
      <x:c r="T236" s="41" t="n">
        <x:v>3</x:v>
      </x:c>
      <x:c r="U236" s="41" t="str">
        <x:v>No</x:v>
      </x:c>
      <x:c r="V236" s="41" t="str"/>
    </x:row>
    <x:row r="237">
      <x:c r="A237" s="41" t="str">
        <x:v>BURN-550-700</x:v>
      </x:c>
      <x:c r="B237" s="41" t="str">
        <x:v>Burnsport</x:v>
      </x:c>
      <x:c r="C237" s="41" t="str">
        <x:v>550K-700K</x:v>
      </x:c>
      <x:c r="D237" s="41" t="n">
        <x:v>550000</x:v>
      </x:c>
      <x:c r="E237" s="41" t="n">
        <x:v>700000</x:v>
      </x:c>
      <x:c r="F237" s="41" t="n">
        <x:v>1</x:v>
      </x:c>
      <x:c r="G237" s="41" t="str">
        <x:v>Cardio</x:v>
      </x:c>
      <x:c r="H237" s="41" t="str">
        <x:v>Recumbent Bike</x:v>
      </x:c>
      <x:c r="I237" s="41" t="str">
        <x:v>cardio_recumbent_bike</x:v>
      </x:c>
      <x:c r="J237" s="41" t="str">
        <x:v>CD-004</x:v>
      </x:c>
      <x:c r="K237" s="41" t="str">
        <x:v>Recumbent Bike</x:v>
      </x:c>
      <x:c r="L237" s="41" t="str">
        <x:v>Burnsport</x:v>
      </x:c>
      <x:c r="M237" s="41" t="n">
        <x:v>2</x:v>
      </x:c>
      <x:c r="N237" s="42" t="n">
        <x:v>6500</x:v>
      </x:c>
      <x:c r="O237" s="42" t="n">
        <x:f>M237*N237</x:f>
        <x:v>13000</x:v>
      </x:c>
      <x:c r="P237" s="50" t="n">
        <x:v>0.05</x:v>
      </x:c>
      <x:c r="Q237" s="42" t="n">
        <x:f>O237*P237</x:f>
        <x:v>650</x:v>
      </x:c>
      <x:c r="R237" s="42" t="n">
        <x:f>O237+Q237</x:f>
        <x:v>13650</x:v>
      </x:c>
      <x:c r="S237" s="41" t="str">
        <x:v>Fixed role; quantity scales by budget</x:v>
      </x:c>
      <x:c r="T237" s="41" t="n">
        <x:v>4</x:v>
      </x:c>
      <x:c r="U237" s="41" t="str">
        <x:v>No</x:v>
      </x:c>
      <x:c r="V237" s="41" t="str"/>
    </x:row>
    <x:row r="238">
      <x:c r="A238" s="41" t="str">
        <x:v>BURN-550-700</x:v>
      </x:c>
      <x:c r="B238" s="41" t="str">
        <x:v>Burnsport</x:v>
      </x:c>
      <x:c r="C238" s="41" t="str">
        <x:v>550K-700K</x:v>
      </x:c>
      <x:c r="D238" s="41" t="n">
        <x:v>550000</x:v>
      </x:c>
      <x:c r="E238" s="41" t="n">
        <x:v>700000</x:v>
      </x:c>
      <x:c r="F238" s="41" t="n">
        <x:v>1</x:v>
      </x:c>
      <x:c r="G238" s="41" t="str">
        <x:v>Cardio</x:v>
      </x:c>
      <x:c r="H238" s="41" t="str">
        <x:v>Spinning Bike</x:v>
      </x:c>
      <x:c r="I238" s="41" t="str">
        <x:v>cardio_spinning_bike</x:v>
      </x:c>
      <x:c r="J238" s="41" t="str">
        <x:v>CD-006</x:v>
      </x:c>
      <x:c r="K238" s="41" t="str">
        <x:v>Spinning Bike</x:v>
      </x:c>
      <x:c r="L238" s="41" t="str">
        <x:v>Burnsport</x:v>
      </x:c>
      <x:c r="M238" s="41" t="n">
        <x:v>4</x:v>
      </x:c>
      <x:c r="N238" s="42" t="n">
        <x:v>3500</x:v>
      </x:c>
      <x:c r="O238" s="42" t="n">
        <x:f>M238*N238</x:f>
        <x:v>14000</x:v>
      </x:c>
      <x:c r="P238" s="50" t="n">
        <x:v>0.05</x:v>
      </x:c>
      <x:c r="Q238" s="42" t="n">
        <x:f>O238*P238</x:f>
        <x:v>700</x:v>
      </x:c>
      <x:c r="R238" s="42" t="n">
        <x:f>O238+Q238</x:f>
        <x:v>14700</x:v>
      </x:c>
      <x:c r="S238" s="41" t="str">
        <x:v>Fixed role; quantity scales by budget</x:v>
      </x:c>
      <x:c r="T238" s="41" t="n">
        <x:v>5</x:v>
      </x:c>
      <x:c r="U238" s="41" t="str">
        <x:v>No</x:v>
      </x:c>
      <x:c r="V238" s="41" t="str"/>
    </x:row>
    <x:row r="239">
      <x:c r="A239" s="41" t="str">
        <x:v>BURN-550-700</x:v>
      </x:c>
      <x:c r="B239" s="41" t="str">
        <x:v>Burnsport</x:v>
      </x:c>
      <x:c r="C239" s="41" t="str">
        <x:v>550K-700K</x:v>
      </x:c>
      <x:c r="D239" s="41" t="n">
        <x:v>550000</x:v>
      </x:c>
      <x:c r="E239" s="41" t="n">
        <x:v>700000</x:v>
      </x:c>
      <x:c r="F239" s="41" t="n">
        <x:v>1</x:v>
      </x:c>
      <x:c r="G239" s="41" t="str">
        <x:v>Cardio</x:v>
      </x:c>
      <x:c r="H239" s="41" t="str">
        <x:v>Stair Master</x:v>
      </x:c>
      <x:c r="I239" s="41" t="str">
        <x:v>cardio_stair_master</x:v>
      </x:c>
      <x:c r="J239" s="41" t="str">
        <x:v>PR159</x:v>
      </x:c>
      <x:c r="K239" s="41" t="str">
        <x:v>Stair Master</x:v>
      </x:c>
      <x:c r="L239" s="41" t="str">
        <x:v>Premier</x:v>
      </x:c>
      <x:c r="M239" s="41" t="n">
        <x:v>1</x:v>
      </x:c>
      <x:c r="N239" s="42" t="n">
        <x:v>9500</x:v>
      </x:c>
      <x:c r="O239" s="42" t="n">
        <x:f>M239*N239</x:f>
        <x:v>9500</x:v>
      </x:c>
      <x:c r="P239" s="50" t="n">
        <x:v>0.05</x:v>
      </x:c>
      <x:c r="Q239" s="42" t="n">
        <x:f>O239*P239</x:f>
        <x:v>475</x:v>
      </x:c>
      <x:c r="R239" s="42" t="n">
        <x:f>O239+Q239</x:f>
        <x:v>9975</x:v>
      </x:c>
      <x:c r="S239" s="41" t="str">
        <x:v>Fixed role; quantity scales by budget</x:v>
      </x:c>
      <x:c r="T239" s="41" t="n">
        <x:v>6</x:v>
      </x:c>
      <x:c r="U239" s="41" t="str">
        <x:v>Yes</x:v>
      </x:c>
      <x:c r="V239" s="41" t="str">
        <x:v>Burnsport stair master is not present in the uploaded source; Premier PR159 is the current fallback.</x:v>
      </x:c>
    </x:row>
    <x:row r="240">
      <x:c r="A240" s="41" t="str">
        <x:v>BURN-550-700</x:v>
      </x:c>
      <x:c r="B240" s="41" t="str">
        <x:v>Burnsport</x:v>
      </x:c>
      <x:c r="C240" s="41" t="str">
        <x:v>550K-700K</x:v>
      </x:c>
      <x:c r="D240" s="41" t="n">
        <x:v>550000</x:v>
      </x:c>
      <x:c r="E240" s="41" t="n">
        <x:v>700000</x:v>
      </x:c>
      <x:c r="F240" s="41" t="n">
        <x:v>1</x:v>
      </x:c>
      <x:c r="G240" s="41" t="str">
        <x:v>Cardio</x:v>
      </x:c>
      <x:c r="H240" s="41" t="str">
        <x:v>Rower</x:v>
      </x:c>
      <x:c r="I240" s="41" t="str">
        <x:v>cardio_rower</x:v>
      </x:c>
      <x:c r="J240" s="41" t="str">
        <x:v>CD-007</x:v>
      </x:c>
      <x:c r="K240" s="41" t="str">
        <x:v>Air Rowing Machine</x:v>
      </x:c>
      <x:c r="L240" s="41" t="str">
        <x:v>Burnsport</x:v>
      </x:c>
      <x:c r="M240" s="41" t="n">
        <x:v>1</x:v>
      </x:c>
      <x:c r="N240" s="42" t="n">
        <x:v>4000</x:v>
      </x:c>
      <x:c r="O240" s="42" t="n">
        <x:f>M240*N240</x:f>
        <x:v>4000</x:v>
      </x:c>
      <x:c r="P240" s="50" t="n">
        <x:v>0.05</x:v>
      </x:c>
      <x:c r="Q240" s="42" t="n">
        <x:f>O240*P240</x:f>
        <x:v>200</x:v>
      </x:c>
      <x:c r="R240" s="42" t="n">
        <x:f>O240+Q240</x:f>
        <x:v>4200</x:v>
      </x:c>
      <x:c r="S240" s="41" t="str">
        <x:v>Fixed role; quantity scales by budget</x:v>
      </x:c>
      <x:c r="T240" s="41" t="n">
        <x:v>7</x:v>
      </x:c>
      <x:c r="U240" s="41" t="str">
        <x:v>No</x:v>
      </x:c>
      <x:c r="V240" s="41" t="str"/>
    </x:row>
    <x:row r="241">
      <x:c r="A241" s="41" t="str">
        <x:v>BURN-550-700</x:v>
      </x:c>
      <x:c r="B241" s="41" t="str">
        <x:v>Burnsport</x:v>
      </x:c>
      <x:c r="C241" s="41" t="str">
        <x:v>550K-700K</x:v>
      </x:c>
      <x:c r="D241" s="41" t="n">
        <x:v>550000</x:v>
      </x:c>
      <x:c r="E241" s="41" t="n">
        <x:v>700000</x:v>
      </x:c>
      <x:c r="F241" s="41" t="n">
        <x:v>1</x:v>
      </x:c>
      <x:c r="G241" s="41" t="str">
        <x:v>Cardio</x:v>
      </x:c>
      <x:c r="H241" s="41" t="str">
        <x:v>SkiErg</x:v>
      </x:c>
      <x:c r="I241" s="41" t="str">
        <x:v>cardio_skierg</x:v>
      </x:c>
      <x:c r="J241" s="41" t="str">
        <x:v>CD-008</x:v>
      </x:c>
      <x:c r="K241" s="41" t="str">
        <x:v>Skierg</x:v>
      </x:c>
      <x:c r="L241" s="41" t="str">
        <x:v>Burnsport</x:v>
      </x:c>
      <x:c r="M241" s="41" t="n">
        <x:v>1</x:v>
      </x:c>
      <x:c r="N241" s="42" t="n">
        <x:v>5500</x:v>
      </x:c>
      <x:c r="O241" s="42" t="n">
        <x:f>M241*N241</x:f>
        <x:v>5500</x:v>
      </x:c>
      <x:c r="P241" s="50" t="n">
        <x:v>0.05</x:v>
      </x:c>
      <x:c r="Q241" s="42" t="n">
        <x:f>O241*P241</x:f>
        <x:v>275</x:v>
      </x:c>
      <x:c r="R241" s="42" t="n">
        <x:f>O241+Q241</x:f>
        <x:v>5775</x:v>
      </x:c>
      <x:c r="S241" s="41" t="str">
        <x:v>Fixed role; quantity scales by budget</x:v>
      </x:c>
      <x:c r="T241" s="41" t="n">
        <x:v>8</x:v>
      </x:c>
      <x:c r="U241" s="41" t="str">
        <x:v>No</x:v>
      </x:c>
      <x:c r="V241" s="41" t="str"/>
    </x:row>
    <x:row r="242">
      <x:c r="A242" s="41" t="str">
        <x:v>BURN-550-700</x:v>
      </x:c>
      <x:c r="B242" s="41" t="str">
        <x:v>Burnsport</x:v>
      </x:c>
      <x:c r="C242" s="41" t="str">
        <x:v>550K-700K</x:v>
      </x:c>
      <x:c r="D242" s="41" t="n">
        <x:v>550000</x:v>
      </x:c>
      <x:c r="E242" s="41" t="n">
        <x:v>700000</x:v>
      </x:c>
      <x:c r="F242" s="41" t="n">
        <x:v>2</x:v>
      </x:c>
      <x:c r="G242" s="41" t="str">
        <x:v>Functional / Multi</x:v>
      </x:c>
      <x:c r="H242" s="41" t="str">
        <x:v>Smith Machine</x:v>
      </x:c>
      <x:c r="I242" s="41" t="str">
        <x:v>functional_multi_smith_machine</x:v>
      </x:c>
      <x:c r="J242" s="41" t="str">
        <x:v>PNT-1012</x:v>
      </x:c>
      <x:c r="K242" s="41" t="str">
        <x:v>Power Smith Machine Dual System</x:v>
      </x:c>
      <x:c r="L242" s="41" t="str">
        <x:v>Burnsport</x:v>
      </x:c>
      <x:c r="M242" s="41" t="n">
        <x:v>1</x:v>
      </x:c>
      <x:c r="N242" s="42" t="n">
        <x:v>12742</x:v>
      </x:c>
      <x:c r="O242" s="42" t="n">
        <x:f>M242*N242</x:f>
        <x:v>12742</x:v>
      </x:c>
      <x:c r="P242" s="50" t="n">
        <x:v>0.05</x:v>
      </x:c>
      <x:c r="Q242" s="42" t="n">
        <x:f>O242*P242</x:f>
        <x:v>637.1</x:v>
      </x:c>
      <x:c r="R242" s="42" t="n">
        <x:f>O242+Q242</x:f>
        <x:v>13379.1</x:v>
      </x:c>
      <x:c r="S242" s="41" t="str">
        <x:v>Mandatory exactly 1</x:v>
      </x:c>
      <x:c r="T242" s="41" t="n">
        <x:v>1</x:v>
      </x:c>
      <x:c r="U242" s="41" t="str">
        <x:v>No</x:v>
      </x:c>
      <x:c r="V242" s="41" t="str">
        <x:v>Smith is mandatory in every full-gym profile.</x:v>
      </x:c>
    </x:row>
    <x:row r="243">
      <x:c r="A243" s="41" t="str">
        <x:v>BURN-550-700</x:v>
      </x:c>
      <x:c r="B243" s="41" t="str">
        <x:v>Burnsport</x:v>
      </x:c>
      <x:c r="C243" s="41" t="str">
        <x:v>550K-700K</x:v>
      </x:c>
      <x:c r="D243" s="41" t="n">
        <x:v>550000</x:v>
      </x:c>
      <x:c r="E243" s="41" t="n">
        <x:v>700000</x:v>
      </x:c>
      <x:c r="F243" s="41" t="n">
        <x:v>2</x:v>
      </x:c>
      <x:c r="G243" s="41" t="str">
        <x:v>Functional / Multi</x:v>
      </x:c>
      <x:c r="H243" s="41" t="str">
        <x:v>Functional Trainer</x:v>
      </x:c>
      <x:c r="I243" s="41" t="str">
        <x:v>functional_multi_functional_trainer</x:v>
      </x:c>
      <x:c r="J243" s="41" t="str">
        <x:v>LJ-5002</x:v>
      </x:c>
      <x:c r="K243" s="41" t="str">
        <x:v>Adjustable Crossover</x:v>
      </x:c>
      <x:c r="L243" s="41" t="str">
        <x:v>Burnsport</x:v>
      </x:c>
      <x:c r="M243" s="41" t="n">
        <x:v>1</x:v>
      </x:c>
      <x:c r="N243" s="42" t="n">
        <x:v>21141.6</x:v>
      </x:c>
      <x:c r="O243" s="42" t="n">
        <x:f>M243*N243</x:f>
        <x:v>21141.6</x:v>
      </x:c>
      <x:c r="P243" s="50" t="n">
        <x:v>0.05</x:v>
      </x:c>
      <x:c r="Q243" s="42" t="n">
        <x:f>O243*P243</x:f>
        <x:v>1057.08</x:v>
      </x:c>
      <x:c r="R243" s="42" t="n">
        <x:f>O243+Q243</x:f>
        <x:v>22198.68</x:v>
      </x:c>
      <x:c r="S243" s="41" t="str">
        <x:v>Mandatory exactly 1</x:v>
      </x:c>
      <x:c r="T243" s="41" t="n">
        <x:v>2</x:v>
      </x:c>
      <x:c r="U243" s="41" t="str">
        <x:v>No</x:v>
      </x:c>
      <x:c r="V243" s="41" t="str">
        <x:v>Functional Trainer is exactly 1.</x:v>
      </x:c>
    </x:row>
    <x:row r="244">
      <x:c r="A244" s="41" t="str">
        <x:v>BURN-550-700</x:v>
      </x:c>
      <x:c r="B244" s="41" t="str">
        <x:v>Burnsport</x:v>
      </x:c>
      <x:c r="C244" s="41" t="str">
        <x:v>550K-700K</x:v>
      </x:c>
      <x:c r="D244" s="41" t="n">
        <x:v>550000</x:v>
      </x:c>
      <x:c r="E244" s="41" t="n">
        <x:v>700000</x:v>
      </x:c>
      <x:c r="F244" s="41" t="n">
        <x:v>2</x:v>
      </x:c>
      <x:c r="G244" s="41" t="str">
        <x:v>Functional / Multi</x:v>
      </x:c>
      <x:c r="H244" s="41" t="str">
        <x:v>5 Station</x:v>
      </x:c>
      <x:c r="I244" s="41" t="str">
        <x:v>functional_multi_5_station</x:v>
      </x:c>
      <x:c r="J244" s="41" t="str">
        <x:v>LJ-5004</x:v>
      </x:c>
      <x:c r="K244" s="41" t="str">
        <x:v>Multi-jungle 5 Station</x:v>
      </x:c>
      <x:c r="L244" s="41" t="str">
        <x:v>Burnsport</x:v>
      </x:c>
      <x:c r="M244" s="41" t="n">
        <x:v>1</x:v>
      </x:c>
      <x:c r="N244" s="42" t="n">
        <x:v>38557.2</x:v>
      </x:c>
      <x:c r="O244" s="42" t="n">
        <x:f>M244*N244</x:f>
        <x:v>38557.2</x:v>
      </x:c>
      <x:c r="P244" s="50" t="n">
        <x:v>0.05</x:v>
      </x:c>
      <x:c r="Q244" s="42" t="n">
        <x:f>O244*P244</x:f>
        <x:v>1927.86</x:v>
      </x:c>
      <x:c r="R244" s="42" t="n">
        <x:f>O244+Q244</x:f>
        <x:v>40485.06</x:v>
      </x:c>
      <x:c r="S244" s="41" t="str">
        <x:v>Budget-tier replacement</x:v>
      </x:c>
      <x:c r="T244" s="41" t="n">
        <x:v>3</x:v>
      </x:c>
      <x:c r="U244" s="41" t="str">
        <x:v>No</x:v>
      </x:c>
      <x:c r="V244" s="41" t="str">
        <x:v>Only 4 / 5 / 8 station are allowed; never combine station sizes.</x:v>
      </x:c>
    </x:row>
    <x:row r="245">
      <x:c r="A245" s="41" t="str">
        <x:v>BURN-550-700</x:v>
      </x:c>
      <x:c r="B245" s="41" t="str">
        <x:v>Burnsport</x:v>
      </x:c>
      <x:c r="C245" s="41" t="str">
        <x:v>550K-700K</x:v>
      </x:c>
      <x:c r="D245" s="41" t="n">
        <x:v>550000</x:v>
      </x:c>
      <x:c r="E245" s="41" t="n">
        <x:v>700000</x:v>
      </x:c>
      <x:c r="F245" s="41" t="n">
        <x:v>3</x:v>
      </x:c>
      <x:c r="G245" s="41" t="str">
        <x:v>Strength</x:v>
      </x:c>
      <x:c r="H245" s="41" t="str">
        <x:v>Chest</x:v>
      </x:c>
      <x:c r="I245" s="41" t="str">
        <x:v>strength_chest</x:v>
      </x:c>
      <x:c r="J245" s="41" t="str">
        <x:v>PRM-1005G</x:v>
      </x:c>
      <x:c r="K245" s="41" t="str">
        <x:v>Chest Press (PRM-1005G)</x:v>
      </x:c>
      <x:c r="L245" s="41" t="str">
        <x:v>Burnsport</x:v>
      </x:c>
      <x:c r="M245" s="41" t="n">
        <x:v>1</x:v>
      </x:c>
      <x:c r="N245" s="42" t="n">
        <x:v>11776</x:v>
      </x:c>
      <x:c r="O245" s="42" t="n">
        <x:f>M245*N245</x:f>
        <x:v>11776</x:v>
      </x:c>
      <x:c r="P245" s="50" t="n">
        <x:v>0.05</x:v>
      </x:c>
      <x:c r="Q245" s="42" t="n">
        <x:f>O245*P245</x:f>
        <x:v>588.8000000000001</x:v>
      </x:c>
      <x:c r="R245" s="42" t="n">
        <x:f>O245+Q245</x:f>
        <x:v>12364.8</x:v>
      </x:c>
      <x:c r="S245" s="41" t="str">
        <x:v>Burnsport default movement</x:v>
      </x:c>
      <x:c r="T245" s="41" t="n">
        <x:v>1</x:v>
      </x:c>
      <x:c r="U245" s="41" t="str">
        <x:v>No</x:v>
      </x:c>
      <x:c r="V245" s="41" t="str">
        <x:v>Use this movement priority; avoid duplicate movement filler.</x:v>
      </x:c>
    </x:row>
    <x:row r="246">
      <x:c r="A246" s="41" t="str">
        <x:v>BURN-550-700</x:v>
      </x:c>
      <x:c r="B246" s="41" t="str">
        <x:v>Burnsport</x:v>
      </x:c>
      <x:c r="C246" s="41" t="str">
        <x:v>550K-700K</x:v>
      </x:c>
      <x:c r="D246" s="41" t="n">
        <x:v>550000</x:v>
      </x:c>
      <x:c r="E246" s="41" t="n">
        <x:v>700000</x:v>
      </x:c>
      <x:c r="F246" s="41" t="n">
        <x:v>3</x:v>
      </x:c>
      <x:c r="G246" s="41" t="str">
        <x:v>Strength</x:v>
      </x:c>
      <x:c r="H246" s="41" t="str">
        <x:v>Chest</x:v>
      </x:c>
      <x:c r="I246" s="41" t="str">
        <x:v>strength_chest</x:v>
      </x:c>
      <x:c r="J246" s="41" t="str">
        <x:v>PRM-1002</x:v>
      </x:c>
      <x:c r="K246" s="41" t="str">
        <x:v>Incline Press Press Plate</x:v>
      </x:c>
      <x:c r="L246" s="41" t="str">
        <x:v>Burnsport</x:v>
      </x:c>
      <x:c r="M246" s="41" t="n">
        <x:v>1</x:v>
      </x:c>
      <x:c r="N246" s="42" t="n">
        <x:v>11776</x:v>
      </x:c>
      <x:c r="O246" s="42" t="n">
        <x:f>M246*N246</x:f>
        <x:v>11776</x:v>
      </x:c>
      <x:c r="P246" s="50" t="n">
        <x:v>0.05</x:v>
      </x:c>
      <x:c r="Q246" s="42" t="n">
        <x:f>O246*P246</x:f>
        <x:v>588.8000000000001</x:v>
      </x:c>
      <x:c r="R246" s="42" t="n">
        <x:f>O246+Q246</x:f>
        <x:v>12364.8</x:v>
      </x:c>
      <x:c r="S246" s="41" t="str">
        <x:v>Burnsport default movement</x:v>
      </x:c>
      <x:c r="T246" s="41" t="n">
        <x:v>2</x:v>
      </x:c>
      <x:c r="U246" s="41" t="str">
        <x:v>No</x:v>
      </x:c>
      <x:c r="V246" s="41" t="str">
        <x:v>Use this movement priority; avoid duplicate movement filler.</x:v>
      </x:c>
    </x:row>
    <x:row r="247">
      <x:c r="A247" s="41" t="str">
        <x:v>BURN-550-700</x:v>
      </x:c>
      <x:c r="B247" s="41" t="str">
        <x:v>Burnsport</x:v>
      </x:c>
      <x:c r="C247" s="41" t="str">
        <x:v>550K-700K</x:v>
      </x:c>
      <x:c r="D247" s="41" t="n">
        <x:v>550000</x:v>
      </x:c>
      <x:c r="E247" s="41" t="n">
        <x:v>700000</x:v>
      </x:c>
      <x:c r="F247" s="41" t="n">
        <x:v>3</x:v>
      </x:c>
      <x:c r="G247" s="41" t="str">
        <x:v>Strength</x:v>
      </x:c>
      <x:c r="H247" s="41" t="str">
        <x:v>Chest</x:v>
      </x:c>
      <x:c r="I247" s="41" t="str">
        <x:v>strength_chest</x:v>
      </x:c>
      <x:c r="J247" s="41" t="str">
        <x:v>HM-3015</x:v>
      </x:c>
      <x:c r="K247" s="41" t="str">
        <x:v>Pectoral Fly</x:v>
      </x:c>
      <x:c r="L247" s="41" t="str">
        <x:v>Burnsport</x:v>
      </x:c>
      <x:c r="M247" s="41" t="n">
        <x:v>1</x:v>
      </x:c>
      <x:c r="N247" s="42" t="n">
        <x:v>14536</x:v>
      </x:c>
      <x:c r="O247" s="42" t="n">
        <x:f>M247*N247</x:f>
        <x:v>14536</x:v>
      </x:c>
      <x:c r="P247" s="50" t="n">
        <x:v>0.05</x:v>
      </x:c>
      <x:c r="Q247" s="42" t="n">
        <x:f>O247*P247</x:f>
        <x:v>726.8000000000001</x:v>
      </x:c>
      <x:c r="R247" s="42" t="n">
        <x:f>O247+Q247</x:f>
        <x:v>15262.8</x:v>
      </x:c>
      <x:c r="S247" s="41" t="str">
        <x:v>Burnsport default movement</x:v>
      </x:c>
      <x:c r="T247" s="41" t="n">
        <x:v>3</x:v>
      </x:c>
      <x:c r="U247" s="41" t="str">
        <x:v>No</x:v>
      </x:c>
      <x:c r="V247" s="41" t="str">
        <x:v>Use this movement priority; avoid duplicate movement filler.</x:v>
      </x:c>
    </x:row>
    <x:row r="248">
      <x:c r="A248" s="41" t="str">
        <x:v>BURN-550-700</x:v>
      </x:c>
      <x:c r="B248" s="41" t="str">
        <x:v>Burnsport</x:v>
      </x:c>
      <x:c r="C248" s="41" t="str">
        <x:v>550K-700K</x:v>
      </x:c>
      <x:c r="D248" s="41" t="n">
        <x:v>550000</x:v>
      </x:c>
      <x:c r="E248" s="41" t="n">
        <x:v>700000</x:v>
      </x:c>
      <x:c r="F248" s="41" t="n">
        <x:v>3</x:v>
      </x:c>
      <x:c r="G248" s="41" t="str">
        <x:v>Strength</x:v>
      </x:c>
      <x:c r="H248" s="41" t="str">
        <x:v>Shoulder</x:v>
      </x:c>
      <x:c r="I248" s="41" t="str">
        <x:v>strength_shoulder</x:v>
      </x:c>
      <x:c r="J248" s="41" t="str">
        <x:v>PRM-1004G</x:v>
      </x:c>
      <x:c r="K248" s="41" t="str">
        <x:v>Shoulder Press (PRM-1004G)</x:v>
      </x:c>
      <x:c r="L248" s="41" t="str">
        <x:v>Burnsport</x:v>
      </x:c>
      <x:c r="M248" s="41" t="n">
        <x:v>1</x:v>
      </x:c>
      <x:c r="N248" s="42" t="n">
        <x:v>11776</x:v>
      </x:c>
      <x:c r="O248" s="42" t="n">
        <x:f>M248*N248</x:f>
        <x:v>11776</x:v>
      </x:c>
      <x:c r="P248" s="50" t="n">
        <x:v>0.05</x:v>
      </x:c>
      <x:c r="Q248" s="42" t="n">
        <x:f>O248*P248</x:f>
        <x:v>588.8000000000001</x:v>
      </x:c>
      <x:c r="R248" s="42" t="n">
        <x:f>O248+Q248</x:f>
        <x:v>12364.8</x:v>
      </x:c>
      <x:c r="S248" s="41" t="str">
        <x:v>Burnsport default movement</x:v>
      </x:c>
      <x:c r="T248" s="41" t="n">
        <x:v>1</x:v>
      </x:c>
      <x:c r="U248" s="41" t="str">
        <x:v>No</x:v>
      </x:c>
      <x:c r="V248" s="41" t="str">
        <x:v>Use this movement priority; avoid duplicate movement filler.</x:v>
      </x:c>
    </x:row>
    <x:row r="249">
      <x:c r="A249" s="41" t="str">
        <x:v>BURN-550-700</x:v>
      </x:c>
      <x:c r="B249" s="41" t="str">
        <x:v>Burnsport</x:v>
      </x:c>
      <x:c r="C249" s="41" t="str">
        <x:v>550K-700K</x:v>
      </x:c>
      <x:c r="D249" s="41" t="n">
        <x:v>550000</x:v>
      </x:c>
      <x:c r="E249" s="41" t="n">
        <x:v>700000</x:v>
      </x:c>
      <x:c r="F249" s="41" t="n">
        <x:v>3</x:v>
      </x:c>
      <x:c r="G249" s="41" t="str">
        <x:v>Strength</x:v>
      </x:c>
      <x:c r="H249" s="41" t="str">
        <x:v>Shoulder</x:v>
      </x:c>
      <x:c r="I249" s="41" t="str">
        <x:v>strength_shoulder</x:v>
      </x:c>
      <x:c r="J249" s="41" t="str">
        <x:v>HM-3014</x:v>
      </x:c>
      <x:c r="K249" s="41" t="str">
        <x:v>Seated Lateral Raise</x:v>
      </x:c>
      <x:c r="L249" s="41" t="str">
        <x:v>Burnsport</x:v>
      </x:c>
      <x:c r="M249" s="41" t="n">
        <x:v>1</x:v>
      </x:c>
      <x:c r="N249" s="42" t="n">
        <x:v>14536</x:v>
      </x:c>
      <x:c r="O249" s="42" t="n">
        <x:f>M249*N249</x:f>
        <x:v>14536</x:v>
      </x:c>
      <x:c r="P249" s="50" t="n">
        <x:v>0.05</x:v>
      </x:c>
      <x:c r="Q249" s="42" t="n">
        <x:f>O249*P249</x:f>
        <x:v>726.8000000000001</x:v>
      </x:c>
      <x:c r="R249" s="42" t="n">
        <x:f>O249+Q249</x:f>
        <x:v>15262.8</x:v>
      </x:c>
      <x:c r="S249" s="41" t="str">
        <x:v>Burnsport default movement</x:v>
      </x:c>
      <x:c r="T249" s="41" t="n">
        <x:v>2</x:v>
      </x:c>
      <x:c r="U249" s="41" t="str">
        <x:v>No</x:v>
      </x:c>
      <x:c r="V249" s="41" t="str">
        <x:v>Use this movement priority; avoid duplicate movement filler.</x:v>
      </x:c>
    </x:row>
    <x:row r="250">
      <x:c r="A250" s="41" t="str">
        <x:v>BURN-550-700</x:v>
      </x:c>
      <x:c r="B250" s="41" t="str">
        <x:v>Burnsport</x:v>
      </x:c>
      <x:c r="C250" s="41" t="str">
        <x:v>550K-700K</x:v>
      </x:c>
      <x:c r="D250" s="41" t="n">
        <x:v>550000</x:v>
      </x:c>
      <x:c r="E250" s="41" t="n">
        <x:v>700000</x:v>
      </x:c>
      <x:c r="F250" s="41" t="n">
        <x:v>3</x:v>
      </x:c>
      <x:c r="G250" s="41" t="str">
        <x:v>Strength</x:v>
      </x:c>
      <x:c r="H250" s="41" t="str">
        <x:v>Shoulder</x:v>
      </x:c>
      <x:c r="I250" s="41" t="str">
        <x:v>strength_shoulder</x:v>
      </x:c>
      <x:c r="J250" s="41" t="str">
        <x:v>HM-1020</x:v>
      </x:c>
      <x:c r="K250" s="41" t="str">
        <x:v>Iso-lateral Shoulder Press</x:v>
      </x:c>
      <x:c r="L250" s="41" t="str">
        <x:v>Burnsport</x:v>
      </x:c>
      <x:c r="M250" s="41" t="n">
        <x:v>1</x:v>
      </x:c>
      <x:c r="N250" s="42" t="n">
        <x:v>10856</x:v>
      </x:c>
      <x:c r="O250" s="42" t="n">
        <x:f>M250*N250</x:f>
        <x:v>10856</x:v>
      </x:c>
      <x:c r="P250" s="50" t="n">
        <x:v>0.05</x:v>
      </x:c>
      <x:c r="Q250" s="42" t="n">
        <x:f>O250*P250</x:f>
        <x:v>542.8000000000001</x:v>
      </x:c>
      <x:c r="R250" s="42" t="n">
        <x:f>O250+Q250</x:f>
        <x:v>11398.8</x:v>
      </x:c>
      <x:c r="S250" s="41" t="str">
        <x:v>Burnsport default movement</x:v>
      </x:c>
      <x:c r="T250" s="41" t="n">
        <x:v>3</x:v>
      </x:c>
      <x:c r="U250" s="41" t="str">
        <x:v>No</x:v>
      </x:c>
      <x:c r="V250" s="41" t="str">
        <x:v>Use this movement priority; avoid duplicate movement filler.</x:v>
      </x:c>
    </x:row>
    <x:row r="251">
      <x:c r="A251" s="41" t="str">
        <x:v>BURN-550-700</x:v>
      </x:c>
      <x:c r="B251" s="41" t="str">
        <x:v>Burnsport</x:v>
      </x:c>
      <x:c r="C251" s="41" t="str">
        <x:v>550K-700K</x:v>
      </x:c>
      <x:c r="D251" s="41" t="n">
        <x:v>550000</x:v>
      </x:c>
      <x:c r="E251" s="41" t="n">
        <x:v>700000</x:v>
      </x:c>
      <x:c r="F251" s="41" t="n">
        <x:v>3</x:v>
      </x:c>
      <x:c r="G251" s="41" t="str">
        <x:v>Strength</x:v>
      </x:c>
      <x:c r="H251" s="41" t="str">
        <x:v>Back</x:v>
      </x:c>
      <x:c r="I251" s="41" t="str">
        <x:v>strength_back</x:v>
      </x:c>
      <x:c r="J251" s="41" t="str">
        <x:v>PRM-1007G</x:v>
      </x:c>
      <x:c r="K251" s="41" t="str">
        <x:v>Lat Pulldown (PRM-1007G)</x:v>
      </x:c>
      <x:c r="L251" s="41" t="str">
        <x:v>Burnsport</x:v>
      </x:c>
      <x:c r="M251" s="41" t="n">
        <x:v>1</x:v>
      </x:c>
      <x:c r="N251" s="42" t="n">
        <x:v>11776</x:v>
      </x:c>
      <x:c r="O251" s="42" t="n">
        <x:f>M251*N251</x:f>
        <x:v>11776</x:v>
      </x:c>
      <x:c r="P251" s="50" t="n">
        <x:v>0.05</x:v>
      </x:c>
      <x:c r="Q251" s="42" t="n">
        <x:f>O251*P251</x:f>
        <x:v>588.8000000000001</x:v>
      </x:c>
      <x:c r="R251" s="42" t="n">
        <x:f>O251+Q251</x:f>
        <x:v>12364.8</x:v>
      </x:c>
      <x:c r="S251" s="41" t="str">
        <x:v>Burnsport default movement</x:v>
      </x:c>
      <x:c r="T251" s="41" t="n">
        <x:v>1</x:v>
      </x:c>
      <x:c r="U251" s="41" t="str">
        <x:v>No</x:v>
      </x:c>
      <x:c r="V251" s="41" t="str">
        <x:v>Use this movement priority; avoid duplicate movement filler.</x:v>
      </x:c>
    </x:row>
    <x:row r="252">
      <x:c r="A252" s="41" t="str">
        <x:v>BURN-550-700</x:v>
      </x:c>
      <x:c r="B252" s="41" t="str">
        <x:v>Burnsport</x:v>
      </x:c>
      <x:c r="C252" s="41" t="str">
        <x:v>550K-700K</x:v>
      </x:c>
      <x:c r="D252" s="41" t="n">
        <x:v>550000</x:v>
      </x:c>
      <x:c r="E252" s="41" t="n">
        <x:v>700000</x:v>
      </x:c>
      <x:c r="F252" s="41" t="n">
        <x:v>3</x:v>
      </x:c>
      <x:c r="G252" s="41" t="str">
        <x:v>Strength</x:v>
      </x:c>
      <x:c r="H252" s="41" t="str">
        <x:v>Back</x:v>
      </x:c>
      <x:c r="I252" s="41" t="str">
        <x:v>strength_back</x:v>
      </x:c>
      <x:c r="J252" s="41" t="str">
        <x:v>PRM-1008G</x:v>
      </x:c>
      <x:c r="K252" s="41" t="str">
        <x:v>Seated Row</x:v>
      </x:c>
      <x:c r="L252" s="41" t="str">
        <x:v>Burnsport</x:v>
      </x:c>
      <x:c r="M252" s="41" t="n">
        <x:v>1</x:v>
      </x:c>
      <x:c r="N252" s="42" t="n">
        <x:v>10672</x:v>
      </x:c>
      <x:c r="O252" s="42" t="n">
        <x:f>M252*N252</x:f>
        <x:v>10672</x:v>
      </x:c>
      <x:c r="P252" s="50" t="n">
        <x:v>0.05</x:v>
      </x:c>
      <x:c r="Q252" s="42" t="n">
        <x:f>O252*P252</x:f>
        <x:v>533.6</x:v>
      </x:c>
      <x:c r="R252" s="42" t="n">
        <x:f>O252+Q252</x:f>
        <x:v>11205.6</x:v>
      </x:c>
      <x:c r="S252" s="41" t="str">
        <x:v>Burnsport default movement</x:v>
      </x:c>
      <x:c r="T252" s="41" t="n">
        <x:v>2</x:v>
      </x:c>
      <x:c r="U252" s="41" t="str">
        <x:v>No</x:v>
      </x:c>
      <x:c r="V252" s="41" t="str">
        <x:v>Use this movement priority; avoid duplicate movement filler.</x:v>
      </x:c>
    </x:row>
    <x:row r="253">
      <x:c r="A253" s="41" t="str">
        <x:v>BURN-550-700</x:v>
      </x:c>
      <x:c r="B253" s="41" t="str">
        <x:v>Burnsport</x:v>
      </x:c>
      <x:c r="C253" s="41" t="str">
        <x:v>550K-700K</x:v>
      </x:c>
      <x:c r="D253" s="41" t="n">
        <x:v>550000</x:v>
      </x:c>
      <x:c r="E253" s="41" t="n">
        <x:v>700000</x:v>
      </x:c>
      <x:c r="F253" s="41" t="n">
        <x:v>3</x:v>
      </x:c>
      <x:c r="G253" s="41" t="str">
        <x:v>Strength</x:v>
      </x:c>
      <x:c r="H253" s="41" t="str">
        <x:v>Back</x:v>
      </x:c>
      <x:c r="I253" s="41" t="str">
        <x:v>strength_back</x:v>
      </x:c>
      <x:c r="J253" s="41" t="str">
        <x:v>HM-1014</x:v>
      </x:c>
      <x:c r="K253" s="41" t="str">
        <x:v>Iso-lateral Low Row</x:v>
      </x:c>
      <x:c r="L253" s="41" t="str">
        <x:v>Burnsport</x:v>
      </x:c>
      <x:c r="M253" s="41" t="n">
        <x:v>1</x:v>
      </x:c>
      <x:c r="N253" s="42" t="n">
        <x:v>10856</x:v>
      </x:c>
      <x:c r="O253" s="42" t="n">
        <x:f>M253*N253</x:f>
        <x:v>10856</x:v>
      </x:c>
      <x:c r="P253" s="50" t="n">
        <x:v>0.05</x:v>
      </x:c>
      <x:c r="Q253" s="42" t="n">
        <x:f>O253*P253</x:f>
        <x:v>542.8000000000001</x:v>
      </x:c>
      <x:c r="R253" s="42" t="n">
        <x:f>O253+Q253</x:f>
        <x:v>11398.8</x:v>
      </x:c>
      <x:c r="S253" s="41" t="str">
        <x:v>Burnsport default movement</x:v>
      </x:c>
      <x:c r="T253" s="41" t="n">
        <x:v>3</x:v>
      </x:c>
      <x:c r="U253" s="41" t="str">
        <x:v>No</x:v>
      </x:c>
      <x:c r="V253" s="41" t="str">
        <x:v>Use this movement priority; avoid duplicate movement filler.</x:v>
      </x:c>
    </x:row>
    <x:row r="254">
      <x:c r="A254" s="41" t="str">
        <x:v>BURN-550-700</x:v>
      </x:c>
      <x:c r="B254" s="41" t="str">
        <x:v>Burnsport</x:v>
      </x:c>
      <x:c r="C254" s="41" t="str">
        <x:v>550K-700K</x:v>
      </x:c>
      <x:c r="D254" s="41" t="n">
        <x:v>550000</x:v>
      </x:c>
      <x:c r="E254" s="41" t="n">
        <x:v>700000</x:v>
      </x:c>
      <x:c r="F254" s="41" t="n">
        <x:v>3</x:v>
      </x:c>
      <x:c r="G254" s="41" t="str">
        <x:v>Strength</x:v>
      </x:c>
      <x:c r="H254" s="41" t="str">
        <x:v>Back</x:v>
      </x:c>
      <x:c r="I254" s="41" t="str">
        <x:v>strength_back</x:v>
      </x:c>
      <x:c r="J254" s="41" t="str">
        <x:v>HM-1018</x:v>
      </x:c>
      <x:c r="K254" s="41" t="str">
        <x:v>Iso-lateral High Row</x:v>
      </x:c>
      <x:c r="L254" s="41" t="str">
        <x:v>Burnsport</x:v>
      </x:c>
      <x:c r="M254" s="41" t="n">
        <x:v>1</x:v>
      </x:c>
      <x:c r="N254" s="42" t="n">
        <x:v>10856</x:v>
      </x:c>
      <x:c r="O254" s="42" t="n">
        <x:f>M254*N254</x:f>
        <x:v>10856</x:v>
      </x:c>
      <x:c r="P254" s="50" t="n">
        <x:v>0.05</x:v>
      </x:c>
      <x:c r="Q254" s="42" t="n">
        <x:f>O254*P254</x:f>
        <x:v>542.8000000000001</x:v>
      </x:c>
      <x:c r="R254" s="42" t="n">
        <x:f>O254+Q254</x:f>
        <x:v>11398.8</x:v>
      </x:c>
      <x:c r="S254" s="41" t="str">
        <x:v>Burnsport default movement</x:v>
      </x:c>
      <x:c r="T254" s="41" t="n">
        <x:v>4</x:v>
      </x:c>
      <x:c r="U254" s="41" t="str">
        <x:v>No</x:v>
      </x:c>
      <x:c r="V254" s="41" t="str">
        <x:v>Use this movement priority; avoid duplicate movement filler.</x:v>
      </x:c>
    </x:row>
    <x:row r="255">
      <x:c r="A255" s="41" t="str">
        <x:v>BURN-550-700</x:v>
      </x:c>
      <x:c r="B255" s="41" t="str">
        <x:v>Burnsport</x:v>
      </x:c>
      <x:c r="C255" s="41" t="str">
        <x:v>550K-700K</x:v>
      </x:c>
      <x:c r="D255" s="41" t="n">
        <x:v>550000</x:v>
      </x:c>
      <x:c r="E255" s="41" t="n">
        <x:v>700000</x:v>
      </x:c>
      <x:c r="F255" s="41" t="n">
        <x:v>3</x:v>
      </x:c>
      <x:c r="G255" s="41" t="str">
        <x:v>Strength</x:v>
      </x:c>
      <x:c r="H255" s="41" t="str">
        <x:v>Arms</x:v>
      </x:c>
      <x:c r="I255" s="41" t="str">
        <x:v>strength_arms</x:v>
      </x:c>
      <x:c r="J255" s="41" t="str">
        <x:v>PRM-1009G</x:v>
      </x:c>
      <x:c r="K255" s="41" t="str">
        <x:v>Arm Curl</x:v>
      </x:c>
      <x:c r="L255" s="41" t="str">
        <x:v>Burnsport</x:v>
      </x:c>
      <x:c r="M255" s="41" t="n">
        <x:v>1</x:v>
      </x:c>
      <x:c r="N255" s="42" t="n">
        <x:v>10672</x:v>
      </x:c>
      <x:c r="O255" s="42" t="n">
        <x:f>M255*N255</x:f>
        <x:v>10672</x:v>
      </x:c>
      <x:c r="P255" s="50" t="n">
        <x:v>0.05</x:v>
      </x:c>
      <x:c r="Q255" s="42" t="n">
        <x:f>O255*P255</x:f>
        <x:v>533.6</x:v>
      </x:c>
      <x:c r="R255" s="42" t="n">
        <x:f>O255+Q255</x:f>
        <x:v>11205.6</x:v>
      </x:c>
      <x:c r="S255" s="41" t="str">
        <x:v>Burnsport default movement</x:v>
      </x:c>
      <x:c r="T255" s="41" t="n">
        <x:v>1</x:v>
      </x:c>
      <x:c r="U255" s="41" t="str">
        <x:v>No</x:v>
      </x:c>
      <x:c r="V255" s="41" t="str">
        <x:v>Use this movement priority; avoid duplicate movement filler.</x:v>
      </x:c>
    </x:row>
    <x:row r="256">
      <x:c r="A256" s="41" t="str">
        <x:v>BURN-550-700</x:v>
      </x:c>
      <x:c r="B256" s="41" t="str">
        <x:v>Burnsport</x:v>
      </x:c>
      <x:c r="C256" s="41" t="str">
        <x:v>550K-700K</x:v>
      </x:c>
      <x:c r="D256" s="41" t="n">
        <x:v>550000</x:v>
      </x:c>
      <x:c r="E256" s="41" t="n">
        <x:v>700000</x:v>
      </x:c>
      <x:c r="F256" s="41" t="n">
        <x:v>3</x:v>
      </x:c>
      <x:c r="G256" s="41" t="str">
        <x:v>Strength</x:v>
      </x:c>
      <x:c r="H256" s="41" t="str">
        <x:v>Arms</x:v>
      </x:c>
      <x:c r="I256" s="41" t="str">
        <x:v>strength_arms</x:v>
      </x:c>
      <x:c r="J256" s="41" t="str">
        <x:v>HM-3007</x:v>
      </x:c>
      <x:c r="K256" s="41" t="str">
        <x:v>Triceps Extension</x:v>
      </x:c>
      <x:c r="L256" s="41" t="str">
        <x:v>Burnsport</x:v>
      </x:c>
      <x:c r="M256" s="41" t="n">
        <x:v>1</x:v>
      </x:c>
      <x:c r="N256" s="42" t="n">
        <x:v>14536</x:v>
      </x:c>
      <x:c r="O256" s="42" t="n">
        <x:f>M256*N256</x:f>
        <x:v>14536</x:v>
      </x:c>
      <x:c r="P256" s="50" t="n">
        <x:v>0.05</x:v>
      </x:c>
      <x:c r="Q256" s="42" t="n">
        <x:f>O256*P256</x:f>
        <x:v>726.8000000000001</x:v>
      </x:c>
      <x:c r="R256" s="42" t="n">
        <x:f>O256+Q256</x:f>
        <x:v>15262.8</x:v>
      </x:c>
      <x:c r="S256" s="41" t="str">
        <x:v>Burnsport default movement</x:v>
      </x:c>
      <x:c r="T256" s="41" t="n">
        <x:v>2</x:v>
      </x:c>
      <x:c r="U256" s="41" t="str">
        <x:v>No</x:v>
      </x:c>
      <x:c r="V256" s="41" t="str">
        <x:v>Use this movement priority; avoid duplicate movement filler.</x:v>
      </x:c>
    </x:row>
    <x:row r="257">
      <x:c r="A257" s="41" t="str">
        <x:v>BURN-550-700</x:v>
      </x:c>
      <x:c r="B257" s="41" t="str">
        <x:v>Burnsport</x:v>
      </x:c>
      <x:c r="C257" s="41" t="str">
        <x:v>550K-700K</x:v>
      </x:c>
      <x:c r="D257" s="41" t="n">
        <x:v>550000</x:v>
      </x:c>
      <x:c r="E257" s="41" t="n">
        <x:v>700000</x:v>
      </x:c>
      <x:c r="F257" s="41" t="n">
        <x:v>3</x:v>
      </x:c>
      <x:c r="G257" s="41" t="str">
        <x:v>Strength</x:v>
      </x:c>
      <x:c r="H257" s="41" t="str">
        <x:v>Arms</x:v>
      </x:c>
      <x:c r="I257" s="41" t="str">
        <x:v>strength_arms</x:v>
      </x:c>
      <x:c r="J257" s="41" t="str">
        <x:v>HM-1016</x:v>
      </x:c>
      <x:c r="K257" s="41" t="str">
        <x:v>Seated Dip</x:v>
      </x:c>
      <x:c r="L257" s="41" t="str">
        <x:v>Burnsport</x:v>
      </x:c>
      <x:c r="M257" s="41" t="n">
        <x:v>1</x:v>
      </x:c>
      <x:c r="N257" s="42" t="n">
        <x:v>10672</x:v>
      </x:c>
      <x:c r="O257" s="42" t="n">
        <x:f>M257*N257</x:f>
        <x:v>10672</x:v>
      </x:c>
      <x:c r="P257" s="50" t="n">
        <x:v>0.05</x:v>
      </x:c>
      <x:c r="Q257" s="42" t="n">
        <x:f>O257*P257</x:f>
        <x:v>533.6</x:v>
      </x:c>
      <x:c r="R257" s="42" t="n">
        <x:f>O257+Q257</x:f>
        <x:v>11205.6</x:v>
      </x:c>
      <x:c r="S257" s="41" t="str">
        <x:v>Burnsport default movement</x:v>
      </x:c>
      <x:c r="T257" s="41" t="n">
        <x:v>3</x:v>
      </x:c>
      <x:c r="U257" s="41" t="str">
        <x:v>No</x:v>
      </x:c>
      <x:c r="V257" s="41" t="str">
        <x:v>Use this movement priority; avoid duplicate movement filler.</x:v>
      </x:c>
    </x:row>
    <x:row r="258">
      <x:c r="A258" s="41" t="str">
        <x:v>BURN-550-700</x:v>
      </x:c>
      <x:c r="B258" s="41" t="str">
        <x:v>Burnsport</x:v>
      </x:c>
      <x:c r="C258" s="41" t="str">
        <x:v>550K-700K</x:v>
      </x:c>
      <x:c r="D258" s="41" t="n">
        <x:v>550000</x:v>
      </x:c>
      <x:c r="E258" s="41" t="n">
        <x:v>700000</x:v>
      </x:c>
      <x:c r="F258" s="41" t="n">
        <x:v>3</x:v>
      </x:c>
      <x:c r="G258" s="41" t="str">
        <x:v>Strength</x:v>
      </x:c>
      <x:c r="H258" s="41" t="str">
        <x:v>Core / Abs</x:v>
      </x:c>
      <x:c r="I258" s="41" t="str">
        <x:v>strength_core_abs</x:v>
      </x:c>
      <x:c r="J258" s="41" t="str">
        <x:v>HM-3021</x:v>
      </x:c>
      <x:c r="K258" s="41" t="str">
        <x:v>Abdominal Crunch</x:v>
      </x:c>
      <x:c r="L258" s="41" t="str">
        <x:v>Burnsport</x:v>
      </x:c>
      <x:c r="M258" s="41" t="n">
        <x:v>1</x:v>
      </x:c>
      <x:c r="N258" s="42" t="n">
        <x:v>13156</x:v>
      </x:c>
      <x:c r="O258" s="42" t="n">
        <x:f>M258*N258</x:f>
        <x:v>13156</x:v>
      </x:c>
      <x:c r="P258" s="50" t="n">
        <x:v>0.05</x:v>
      </x:c>
      <x:c r="Q258" s="42" t="n">
        <x:f>O258*P258</x:f>
        <x:v>657.8000000000001</x:v>
      </x:c>
      <x:c r="R258" s="42" t="n">
        <x:f>O258+Q258</x:f>
        <x:v>13813.8</x:v>
      </x:c>
      <x:c r="S258" s="41" t="str">
        <x:v>Burnsport default movement</x:v>
      </x:c>
      <x:c r="T258" s="41" t="n">
        <x:v>1</x:v>
      </x:c>
      <x:c r="U258" s="41" t="str">
        <x:v>No</x:v>
      </x:c>
      <x:c r="V258" s="41" t="str">
        <x:v>Use this movement priority; avoid duplicate movement filler.</x:v>
      </x:c>
    </x:row>
    <x:row r="259">
      <x:c r="A259" s="41" t="str">
        <x:v>BURN-550-700</x:v>
      </x:c>
      <x:c r="B259" s="41" t="str">
        <x:v>Burnsport</x:v>
      </x:c>
      <x:c r="C259" s="41" t="str">
        <x:v>550K-700K</x:v>
      </x:c>
      <x:c r="D259" s="41" t="n">
        <x:v>550000</x:v>
      </x:c>
      <x:c r="E259" s="41" t="n">
        <x:v>700000</x:v>
      </x:c>
      <x:c r="F259" s="41" t="n">
        <x:v>3</x:v>
      </x:c>
      <x:c r="G259" s="41" t="str">
        <x:v>Strength</x:v>
      </x:c>
      <x:c r="H259" s="41" t="str">
        <x:v>Core / Abs</x:v>
      </x:c>
      <x:c r="I259" s="41" t="str">
        <x:v>strength_core_abs</x:v>
      </x:c>
      <x:c r="J259" s="41" t="str">
        <x:v>HM-1023</x:v>
      </x:c>
      <x:c r="K259" s="41" t="str">
        <x:v>Abdominal Oblique Crunch</x:v>
      </x:c>
      <x:c r="L259" s="41" t="str">
        <x:v>Burnsport</x:v>
      </x:c>
      <x:c r="M259" s="41" t="n">
        <x:v>1</x:v>
      </x:c>
      <x:c r="N259" s="42" t="n">
        <x:v>11776</x:v>
      </x:c>
      <x:c r="O259" s="42" t="n">
        <x:f>M259*N259</x:f>
        <x:v>11776</x:v>
      </x:c>
      <x:c r="P259" s="50" t="n">
        <x:v>0.05</x:v>
      </x:c>
      <x:c r="Q259" s="42" t="n">
        <x:f>O259*P259</x:f>
        <x:v>588.8000000000001</x:v>
      </x:c>
      <x:c r="R259" s="42" t="n">
        <x:f>O259+Q259</x:f>
        <x:v>12364.8</x:v>
      </x:c>
      <x:c r="S259" s="41" t="str">
        <x:v>Burnsport default movement</x:v>
      </x:c>
      <x:c r="T259" s="41" t="n">
        <x:v>2</x:v>
      </x:c>
      <x:c r="U259" s="41" t="str">
        <x:v>No</x:v>
      </x:c>
      <x:c r="V259" s="41" t="str">
        <x:v>Use this movement priority; avoid duplicate movement filler.</x:v>
      </x:c>
    </x:row>
    <x:row r="260">
      <x:c r="A260" s="41" t="str">
        <x:v>BURN-550-700</x:v>
      </x:c>
      <x:c r="B260" s="41" t="str">
        <x:v>Burnsport</x:v>
      </x:c>
      <x:c r="C260" s="41" t="str">
        <x:v>550K-700K</x:v>
      </x:c>
      <x:c r="D260" s="41" t="n">
        <x:v>550000</x:v>
      </x:c>
      <x:c r="E260" s="41" t="n">
        <x:v>700000</x:v>
      </x:c>
      <x:c r="F260" s="41" t="n">
        <x:v>3</x:v>
      </x:c>
      <x:c r="G260" s="41" t="str">
        <x:v>Strength</x:v>
      </x:c>
      <x:c r="H260" s="41" t="str">
        <x:v>Legs</x:v>
      </x:c>
      <x:c r="I260" s="41" t="str">
        <x:v>strength_legs</x:v>
      </x:c>
      <x:c r="J260" s="41" t="str">
        <x:v>PRM-1013</x:v>
      </x:c>
      <x:c r="K260" s="41" t="str">
        <x:v>Leg Press (PRM-1013)</x:v>
      </x:c>
      <x:c r="L260" s="41" t="str">
        <x:v>Burnsport</x:v>
      </x:c>
      <x:c r="M260" s="41" t="n">
        <x:v>1</x:v>
      </x:c>
      <x:c r="N260" s="42" t="n">
        <x:v>14352</x:v>
      </x:c>
      <x:c r="O260" s="42" t="n">
        <x:f>M260*N260</x:f>
        <x:v>14352</x:v>
      </x:c>
      <x:c r="P260" s="50" t="n">
        <x:v>0.05</x:v>
      </x:c>
      <x:c r="Q260" s="42" t="n">
        <x:f>O260*P260</x:f>
        <x:v>717.6</x:v>
      </x:c>
      <x:c r="R260" s="42" t="n">
        <x:f>O260+Q260</x:f>
        <x:v>15069.6</x:v>
      </x:c>
      <x:c r="S260" s="41" t="str">
        <x:v>Burnsport default movement</x:v>
      </x:c>
      <x:c r="T260" s="41" t="n">
        <x:v>1</x:v>
      </x:c>
      <x:c r="U260" s="41" t="str">
        <x:v>No</x:v>
      </x:c>
      <x:c r="V260" s="41" t="str">
        <x:v>Use this movement priority; avoid duplicate movement filler.</x:v>
      </x:c>
    </x:row>
    <x:row r="261">
      <x:c r="A261" s="41" t="str">
        <x:v>BURN-550-700</x:v>
      </x:c>
      <x:c r="B261" s="41" t="str">
        <x:v>Burnsport</x:v>
      </x:c>
      <x:c r="C261" s="41" t="str">
        <x:v>550K-700K</x:v>
      </x:c>
      <x:c r="D261" s="41" t="n">
        <x:v>550000</x:v>
      </x:c>
      <x:c r="E261" s="41" t="n">
        <x:v>700000</x:v>
      </x:c>
      <x:c r="F261" s="41" t="n">
        <x:v>3</x:v>
      </x:c>
      <x:c r="G261" s="41" t="str">
        <x:v>Strength</x:v>
      </x:c>
      <x:c r="H261" s="41" t="str">
        <x:v>Legs</x:v>
      </x:c>
      <x:c r="I261" s="41" t="str">
        <x:v>strength_legs</x:v>
      </x:c>
      <x:c r="J261" s="41" t="str">
        <x:v>HM-3009</x:v>
      </x:c>
      <x:c r="K261" s="41" t="str">
        <x:v>Seated Leg Extension</x:v>
      </x:c>
      <x:c r="L261" s="41" t="str">
        <x:v>Burnsport</x:v>
      </x:c>
      <x:c r="M261" s="41" t="n">
        <x:v>1</x:v>
      </x:c>
      <x:c r="N261" s="42" t="n">
        <x:v>14536</x:v>
      </x:c>
      <x:c r="O261" s="42" t="n">
        <x:f>M261*N261</x:f>
        <x:v>14536</x:v>
      </x:c>
      <x:c r="P261" s="50" t="n">
        <x:v>0.05</x:v>
      </x:c>
      <x:c r="Q261" s="42" t="n">
        <x:f>O261*P261</x:f>
        <x:v>726.8000000000001</x:v>
      </x:c>
      <x:c r="R261" s="42" t="n">
        <x:f>O261+Q261</x:f>
        <x:v>15262.8</x:v>
      </x:c>
      <x:c r="S261" s="41" t="str">
        <x:v>Burnsport default movement</x:v>
      </x:c>
      <x:c r="T261" s="41" t="n">
        <x:v>2</x:v>
      </x:c>
      <x:c r="U261" s="41" t="str">
        <x:v>No</x:v>
      </x:c>
      <x:c r="V261" s="41" t="str">
        <x:v>Use this movement priority; avoid duplicate movement filler.</x:v>
      </x:c>
    </x:row>
    <x:row r="262">
      <x:c r="A262" s="41" t="str">
        <x:v>BURN-550-700</x:v>
      </x:c>
      <x:c r="B262" s="41" t="str">
        <x:v>Burnsport</x:v>
      </x:c>
      <x:c r="C262" s="41" t="str">
        <x:v>550K-700K</x:v>
      </x:c>
      <x:c r="D262" s="41" t="n">
        <x:v>550000</x:v>
      </x:c>
      <x:c r="E262" s="41" t="n">
        <x:v>700000</x:v>
      </x:c>
      <x:c r="F262" s="41" t="n">
        <x:v>3</x:v>
      </x:c>
      <x:c r="G262" s="41" t="str">
        <x:v>Strength</x:v>
      </x:c>
      <x:c r="H262" s="41" t="str">
        <x:v>Legs</x:v>
      </x:c>
      <x:c r="I262" s="41" t="str">
        <x:v>strength_legs</x:v>
      </x:c>
      <x:c r="J262" s="41" t="str">
        <x:v>HM-3010</x:v>
      </x:c>
      <x:c r="K262" s="41" t="str">
        <x:v>Seated Leg Curl</x:v>
      </x:c>
      <x:c r="L262" s="41" t="str">
        <x:v>Burnsport</x:v>
      </x:c>
      <x:c r="M262" s="41" t="n">
        <x:v>1</x:v>
      </x:c>
      <x:c r="N262" s="42" t="n">
        <x:v>14536</x:v>
      </x:c>
      <x:c r="O262" s="42" t="n">
        <x:f>M262*N262</x:f>
        <x:v>14536</x:v>
      </x:c>
      <x:c r="P262" s="50" t="n">
        <x:v>0.05</x:v>
      </x:c>
      <x:c r="Q262" s="42" t="n">
        <x:f>O262*P262</x:f>
        <x:v>726.8000000000001</x:v>
      </x:c>
      <x:c r="R262" s="42" t="n">
        <x:f>O262+Q262</x:f>
        <x:v>15262.8</x:v>
      </x:c>
      <x:c r="S262" s="41" t="str">
        <x:v>Burnsport default movement</x:v>
      </x:c>
      <x:c r="T262" s="41" t="n">
        <x:v>3</x:v>
      </x:c>
      <x:c r="U262" s="41" t="str">
        <x:v>No</x:v>
      </x:c>
      <x:c r="V262" s="41" t="str">
        <x:v>Use this movement priority; avoid duplicate movement filler.</x:v>
      </x:c>
    </x:row>
    <x:row r="263">
      <x:c r="A263" s="41" t="str">
        <x:v>BURN-550-700</x:v>
      </x:c>
      <x:c r="B263" s="41" t="str">
        <x:v>Burnsport</x:v>
      </x:c>
      <x:c r="C263" s="41" t="str">
        <x:v>550K-700K</x:v>
      </x:c>
      <x:c r="D263" s="41" t="n">
        <x:v>550000</x:v>
      </x:c>
      <x:c r="E263" s="41" t="n">
        <x:v>700000</x:v>
      </x:c>
      <x:c r="F263" s="41" t="n">
        <x:v>3</x:v>
      </x:c>
      <x:c r="G263" s="41" t="str">
        <x:v>Strength</x:v>
      </x:c>
      <x:c r="H263" s="41" t="str">
        <x:v>Legs</x:v>
      </x:c>
      <x:c r="I263" s="41" t="str">
        <x:v>strength_legs</x:v>
      </x:c>
      <x:c r="J263" s="41" t="str">
        <x:v>RS-1002</x:v>
      </x:c>
      <x:c r="K263" s="41" t="str">
        <x:v>Hack Squat</x:v>
      </x:c>
      <x:c r="L263" s="41" t="str">
        <x:v>Burnsport</x:v>
      </x:c>
      <x:c r="M263" s="41" t="n">
        <x:v>1</x:v>
      </x:c>
      <x:c r="N263" s="42" t="n">
        <x:v>12861.6</x:v>
      </x:c>
      <x:c r="O263" s="42" t="n">
        <x:f>M263*N263</x:f>
        <x:v>12861.6</x:v>
      </x:c>
      <x:c r="P263" s="50" t="n">
        <x:v>0.05</x:v>
      </x:c>
      <x:c r="Q263" s="42" t="n">
        <x:f>O263*P263</x:f>
        <x:v>643.08</x:v>
      </x:c>
      <x:c r="R263" s="42" t="n">
        <x:f>O263+Q263</x:f>
        <x:v>13504.68</x:v>
      </x:c>
      <x:c r="S263" s="41" t="str">
        <x:v>Burnsport default movement</x:v>
      </x:c>
      <x:c r="T263" s="41" t="n">
        <x:v>4</x:v>
      </x:c>
      <x:c r="U263" s="41" t="str">
        <x:v>No</x:v>
      </x:c>
      <x:c r="V263" s="41" t="str">
        <x:v>Use this movement priority; avoid duplicate movement filler.</x:v>
      </x:c>
    </x:row>
    <x:row r="264">
      <x:c r="A264" s="41" t="str">
        <x:v>BURN-550-700</x:v>
      </x:c>
      <x:c r="B264" s="41" t="str">
        <x:v>Burnsport</x:v>
      </x:c>
      <x:c r="C264" s="41" t="str">
        <x:v>550K-700K</x:v>
      </x:c>
      <x:c r="D264" s="41" t="n">
        <x:v>550000</x:v>
      </x:c>
      <x:c r="E264" s="41" t="n">
        <x:v>700000</x:v>
      </x:c>
      <x:c r="F264" s="41" t="n">
        <x:v>3</x:v>
      </x:c>
      <x:c r="G264" s="41" t="str">
        <x:v>Strength</x:v>
      </x:c>
      <x:c r="H264" s="41" t="str">
        <x:v>Legs</x:v>
      </x:c>
      <x:c r="I264" s="41" t="str">
        <x:v>strength_legs</x:v>
      </x:c>
      <x:c r="J264" s="41" t="str">
        <x:v>HM-1034</x:v>
      </x:c>
      <x:c r="K264" s="41" t="str">
        <x:v>Super Horizontal Calf</x:v>
      </x:c>
      <x:c r="L264" s="41" t="str">
        <x:v>Burnsport</x:v>
      </x:c>
      <x:c r="M264" s="41" t="n">
        <x:v>1</x:v>
      </x:c>
      <x:c r="N264" s="42" t="n">
        <x:v>9936</x:v>
      </x:c>
      <x:c r="O264" s="42" t="n">
        <x:f>M264*N264</x:f>
        <x:v>9936</x:v>
      </x:c>
      <x:c r="P264" s="50" t="n">
        <x:v>0.05</x:v>
      </x:c>
      <x:c r="Q264" s="42" t="n">
        <x:f>O264*P264</x:f>
        <x:v>496.8</x:v>
      </x:c>
      <x:c r="R264" s="42" t="n">
        <x:f>O264+Q264</x:f>
        <x:v>10432.8</x:v>
      </x:c>
      <x:c r="S264" s="41" t="str">
        <x:v>Burnsport default movement</x:v>
      </x:c>
      <x:c r="T264" s="41" t="n">
        <x:v>5</x:v>
      </x:c>
      <x:c r="U264" s="41" t="str">
        <x:v>No</x:v>
      </x:c>
      <x:c r="V264" s="41" t="str">
        <x:v>Use this movement priority; avoid duplicate movement filler.</x:v>
      </x:c>
    </x:row>
    <x:row r="265">
      <x:c r="A265" s="41" t="str">
        <x:v>BURN-550-700</x:v>
      </x:c>
      <x:c r="B265" s="41" t="str">
        <x:v>Burnsport</x:v>
      </x:c>
      <x:c r="C265" s="41" t="str">
        <x:v>550K-700K</x:v>
      </x:c>
      <x:c r="D265" s="41" t="n">
        <x:v>550000</x:v>
      </x:c>
      <x:c r="E265" s="41" t="n">
        <x:v>700000</x:v>
      </x:c>
      <x:c r="F265" s="41" t="n">
        <x:v>3</x:v>
      </x:c>
      <x:c r="G265" s="41" t="str">
        <x:v>Strength</x:v>
      </x:c>
      <x:c r="H265" s="41" t="str">
        <x:v>Glutes</x:v>
      </x:c>
      <x:c r="I265" s="41" t="str">
        <x:v>strength_glutes</x:v>
      </x:c>
      <x:c r="J265" s="41" t="str">
        <x:v>HM-3017</x:v>
      </x:c>
      <x:c r="K265" s="41" t="str">
        <x:v>Hip Adduction</x:v>
      </x:c>
      <x:c r="L265" s="41" t="str">
        <x:v>Burnsport</x:v>
      </x:c>
      <x:c r="M265" s="41" t="n">
        <x:v>1</x:v>
      </x:c>
      <x:c r="N265" s="42" t="n">
        <x:v>14536</x:v>
      </x:c>
      <x:c r="O265" s="42" t="n">
        <x:f>M265*N265</x:f>
        <x:v>14536</x:v>
      </x:c>
      <x:c r="P265" s="50" t="n">
        <x:v>0.05</x:v>
      </x:c>
      <x:c r="Q265" s="42" t="n">
        <x:f>O265*P265</x:f>
        <x:v>726.8000000000001</x:v>
      </x:c>
      <x:c r="R265" s="42" t="n">
        <x:f>O265+Q265</x:f>
        <x:v>15262.8</x:v>
      </x:c>
      <x:c r="S265" s="41" t="str">
        <x:v>Burnsport default movement</x:v>
      </x:c>
      <x:c r="T265" s="41" t="n">
        <x:v>1</x:v>
      </x:c>
      <x:c r="U265" s="41" t="str">
        <x:v>No</x:v>
      </x:c>
      <x:c r="V265" s="41" t="str">
        <x:v>Use this movement priority; avoid duplicate movement filler.</x:v>
      </x:c>
    </x:row>
    <x:row r="266">
      <x:c r="A266" s="41" t="str">
        <x:v>BURN-550-700</x:v>
      </x:c>
      <x:c r="B266" s="41" t="str">
        <x:v>Burnsport</x:v>
      </x:c>
      <x:c r="C266" s="41" t="str">
        <x:v>550K-700K</x:v>
      </x:c>
      <x:c r="D266" s="41" t="n">
        <x:v>550000</x:v>
      </x:c>
      <x:c r="E266" s="41" t="n">
        <x:v>700000</x:v>
      </x:c>
      <x:c r="F266" s="41" t="n">
        <x:v>3</x:v>
      </x:c>
      <x:c r="G266" s="41" t="str">
        <x:v>Strength</x:v>
      </x:c>
      <x:c r="H266" s="41" t="str">
        <x:v>Glutes</x:v>
      </x:c>
      <x:c r="I266" s="41" t="str">
        <x:v>strength_glutes</x:v>
      </x:c>
      <x:c r="J266" s="41" t="str">
        <x:v>RS-1011</x:v>
      </x:c>
      <x:c r="K266" s="41" t="str">
        <x:v>Seated Hip Thrust</x:v>
      </x:c>
      <x:c r="L266" s="41" t="str">
        <x:v>Burnsport</x:v>
      </x:c>
      <x:c r="M266" s="41" t="n">
        <x:v>1</x:v>
      </x:c>
      <x:c r="N266" s="42" t="n">
        <x:v>9016</x:v>
      </x:c>
      <x:c r="O266" s="42" t="n">
        <x:f>M266*N266</x:f>
        <x:v>9016</x:v>
      </x:c>
      <x:c r="P266" s="50" t="n">
        <x:v>0.05</x:v>
      </x:c>
      <x:c r="Q266" s="42" t="n">
        <x:f>O266*P266</x:f>
        <x:v>450.8</x:v>
      </x:c>
      <x:c r="R266" s="42" t="n">
        <x:f>O266+Q266</x:f>
        <x:v>9466.8</x:v>
      </x:c>
      <x:c r="S266" s="41" t="str">
        <x:v>Burnsport default movement</x:v>
      </x:c>
      <x:c r="T266" s="41" t="n">
        <x:v>2</x:v>
      </x:c>
      <x:c r="U266" s="41" t="str">
        <x:v>No</x:v>
      </x:c>
      <x:c r="V266" s="41" t="str">
        <x:v>Use this movement priority; avoid duplicate movement filler.</x:v>
      </x:c>
    </x:row>
    <x:row r="267">
      <x:c r="A267" s="41" t="str">
        <x:v>BURN-550-700</x:v>
      </x:c>
      <x:c r="B267" s="41" t="str">
        <x:v>Burnsport</x:v>
      </x:c>
      <x:c r="C267" s="41" t="str">
        <x:v>550K-700K</x:v>
      </x:c>
      <x:c r="D267" s="41" t="n">
        <x:v>550000</x:v>
      </x:c>
      <x:c r="E267" s="41" t="n">
        <x:v>700000</x:v>
      </x:c>
      <x:c r="F267" s="41" t="n">
        <x:v>4</x:v>
      </x:c>
      <x:c r="G267" s="41" t="str">
        <x:v>Benches</x:v>
      </x:c>
      <x:c r="H267" s="41" t="str">
        <x:v>Adjustable Bench</x:v>
      </x:c>
      <x:c r="I267" s="41" t="str">
        <x:v>benches_adjustable_bench</x:v>
      </x:c>
      <x:c r="J267" s="41" t="str">
        <x:v>HM-2009C</x:v>
      </x:c>
      <x:c r="K267" s="41" t="str">
        <x:v>Multi-Adjustable Bench</x:v>
      </x:c>
      <x:c r="L267" s="41" t="str">
        <x:v>Burnsport</x:v>
      </x:c>
      <x:c r="M267" s="41" t="n">
        <x:v>4</x:v>
      </x:c>
      <x:c r="N267" s="42" t="n">
        <x:v>4324</x:v>
      </x:c>
      <x:c r="O267" s="42" t="n">
        <x:f>M267*N267</x:f>
        <x:v>17296</x:v>
      </x:c>
      <x:c r="P267" s="50" t="n">
        <x:v>0.05</x:v>
      </x:c>
      <x:c r="Q267" s="42" t="n">
        <x:f>O267*P267</x:f>
        <x:v>864.8000000000001</x:v>
      </x:c>
      <x:c r="R267" s="42" t="n">
        <x:f>O267+Q267</x:f>
        <x:v>18160.8</x:v>
      </x:c>
      <x:c r="S267" s="41" t="str">
        <x:v>Budget-tier quantity</x:v>
      </x:c>
      <x:c r="T267" s="41" t="n">
        <x:v>1</x:v>
      </x:c>
      <x:c r="U267" s="41" t="str">
        <x:v>No</x:v>
      </x:c>
      <x:c r="V267" s="41" t="str">
        <x:v>Bench quantity scales with gym capacity.</x:v>
      </x:c>
    </x:row>
    <x:row r="268">
      <x:c r="A268" s="41" t="str">
        <x:v>BURN-550-700</x:v>
      </x:c>
      <x:c r="B268" s="41" t="str">
        <x:v>Burnsport</x:v>
      </x:c>
      <x:c r="C268" s="41" t="str">
        <x:v>550K-700K</x:v>
      </x:c>
      <x:c r="D268" s="41" t="n">
        <x:v>550000</x:v>
      </x:c>
      <x:c r="E268" s="41" t="n">
        <x:v>700000</x:v>
      </x:c>
      <x:c r="F268" s="41" t="n">
        <x:v>4</x:v>
      </x:c>
      <x:c r="G268" s="41" t="str">
        <x:v>Benches</x:v>
      </x:c>
      <x:c r="H268" s="41" t="str">
        <x:v>Flat Bench</x:v>
      </x:c>
      <x:c r="I268" s="41" t="str">
        <x:v>benches_flat_bench</x:v>
      </x:c>
      <x:c r="J268" s="41" t="str">
        <x:v>HM-2008</x:v>
      </x:c>
      <x:c r="K268" s="41" t="str">
        <x:v>Flat Bench</x:v>
      </x:c>
      <x:c r="L268" s="41" t="str">
        <x:v>Burnsport</x:v>
      </x:c>
      <x:c r="M268" s="41" t="n">
        <x:v>2</x:v>
      </x:c>
      <x:c r="N268" s="42" t="n">
        <x:v>2392</x:v>
      </x:c>
      <x:c r="O268" s="42" t="n">
        <x:f>M268*N268</x:f>
        <x:v>4784</x:v>
      </x:c>
      <x:c r="P268" s="50" t="n">
        <x:v>0.05</x:v>
      </x:c>
      <x:c r="Q268" s="42" t="n">
        <x:f>O268*P268</x:f>
        <x:v>239.20000000000002</x:v>
      </x:c>
      <x:c r="R268" s="42" t="n">
        <x:f>O268+Q268</x:f>
        <x:v>5023.2</x:v>
      </x:c>
      <x:c r="S268" s="41" t="str">
        <x:v>Budget-tier quantity</x:v>
      </x:c>
      <x:c r="T268" s="41" t="n">
        <x:v>2</x:v>
      </x:c>
      <x:c r="U268" s="41" t="str">
        <x:v>No</x:v>
      </x:c>
      <x:c r="V268" s="41" t="str">
        <x:v>Bench quantity scales with gym capacity.</x:v>
      </x:c>
    </x:row>
    <x:row r="269">
      <x:c r="A269" s="41" t="str">
        <x:v>BURN-550-700</x:v>
      </x:c>
      <x:c r="B269" s="41" t="str">
        <x:v>Burnsport</x:v>
      </x:c>
      <x:c r="C269" s="41" t="str">
        <x:v>550K-700K</x:v>
      </x:c>
      <x:c r="D269" s="41" t="n">
        <x:v>550000</x:v>
      </x:c>
      <x:c r="E269" s="41" t="n">
        <x:v>700000</x:v>
      </x:c>
      <x:c r="F269" s="41" t="n">
        <x:v>4</x:v>
      </x:c>
      <x:c r="G269" s="41" t="str">
        <x:v>Benches</x:v>
      </x:c>
      <x:c r="H269" s="41" t="str">
        <x:v>Adjustable Crunch Bench</x:v>
      </x:c>
      <x:c r="I269" s="41" t="str">
        <x:v>benches_adjustable_crunch_bench</x:v>
      </x:c>
      <x:c r="J269" s="41" t="str">
        <x:v>HM-2006</x:v>
      </x:c>
      <x:c r="K269" s="41" t="str">
        <x:v>Decline Bench</x:v>
      </x:c>
      <x:c r="L269" s="41" t="str">
        <x:v>Burnsport</x:v>
      </x:c>
      <x:c r="M269" s="41" t="n">
        <x:v>2</x:v>
      </x:c>
      <x:c r="N269" s="42" t="n">
        <x:v>3404</x:v>
      </x:c>
      <x:c r="O269" s="42" t="n">
        <x:f>M269*N269</x:f>
        <x:v>6808</x:v>
      </x:c>
      <x:c r="P269" s="50" t="n">
        <x:v>0.05</x:v>
      </x:c>
      <x:c r="Q269" s="42" t="n">
        <x:f>O269*P269</x:f>
        <x:v>340.40000000000003</x:v>
      </x:c>
      <x:c r="R269" s="42" t="n">
        <x:f>O269+Q269</x:f>
        <x:v>7148.4</x:v>
      </x:c>
      <x:c r="S269" s="41" t="str">
        <x:v>Budget-tier quantity</x:v>
      </x:c>
      <x:c r="T269" s="41" t="n">
        <x:v>3</x:v>
      </x:c>
      <x:c r="U269" s="41" t="str">
        <x:v>Yes</x:v>
      </x:c>
      <x:c r="V269" s="41" t="str">
        <x:v>Closest actual Burnsport bench match is HM-2006 Decline Bench; verify before fully automatic selection.</x:v>
      </x:c>
    </x:row>
    <x:row r="270">
      <x:c r="A270" s="41" t="str">
        <x:v>BURN-550-700</x:v>
      </x:c>
      <x:c r="B270" s="41" t="str">
        <x:v>Burnsport</x:v>
      </x:c>
      <x:c r="C270" s="41" t="str">
        <x:v>550K-700K</x:v>
      </x:c>
      <x:c r="D270" s="41" t="n">
        <x:v>550000</x:v>
      </x:c>
      <x:c r="E270" s="41" t="n">
        <x:v>700000</x:v>
      </x:c>
      <x:c r="F270" s="41" t="n">
        <x:v>4</x:v>
      </x:c>
      <x:c r="G270" s="41" t="str">
        <x:v>Benches</x:v>
      </x:c>
      <x:c r="H270" s="41" t="str">
        <x:v>Lower Back Bench</x:v>
      </x:c>
      <x:c r="I270" s="41" t="str">
        <x:v>benches_lower_back_bench</x:v>
      </x:c>
      <x:c r="J270" s="41" t="str">
        <x:v>HM-3022</x:v>
      </x:c>
      <x:c r="K270" s="41" t="str">
        <x:v>Back Extension</x:v>
      </x:c>
      <x:c r="L270" s="41" t="str">
        <x:v>Burnsport</x:v>
      </x:c>
      <x:c r="M270" s="41" t="n">
        <x:v>2</x:v>
      </x:c>
      <x:c r="N270" s="42" t="n">
        <x:v>13156</x:v>
      </x:c>
      <x:c r="O270" s="42" t="n">
        <x:f>M270*N270</x:f>
        <x:v>26312</x:v>
      </x:c>
      <x:c r="P270" s="50" t="n">
        <x:v>0.05</x:v>
      </x:c>
      <x:c r="Q270" s="42" t="n">
        <x:f>O270*P270</x:f>
        <x:v>1315.6000000000001</x:v>
      </x:c>
      <x:c r="R270" s="42" t="n">
        <x:f>O270+Q270</x:f>
        <x:v>27627.6</x:v>
      </x:c>
      <x:c r="S270" s="41" t="str">
        <x:v>Budget-tier quantity</x:v>
      </x:c>
      <x:c r="T270" s="41" t="n">
        <x:v>4</x:v>
      </x:c>
      <x:c r="U270" s="41" t="str">
        <x:v>Yes</x:v>
      </x:c>
      <x:c r="V270" s="41" t="str">
        <x:v>No dedicated Burnsport lower-back bench found; HM-3022 Back Extension machine is used as the current equivalent.</x:v>
      </x:c>
    </x:row>
    <x:row r="271">
      <x:c r="A271" s="41" t="str">
        <x:v>BURN-550-700</x:v>
      </x:c>
      <x:c r="B271" s="41" t="str">
        <x:v>Burnsport</x:v>
      </x:c>
      <x:c r="C271" s="41" t="str">
        <x:v>550K-700K</x:v>
      </x:c>
      <x:c r="D271" s="41" t="n">
        <x:v>550000</x:v>
      </x:c>
      <x:c r="E271" s="41" t="n">
        <x:v>700000</x:v>
      </x:c>
      <x:c r="F271" s="41" t="n">
        <x:v>4</x:v>
      </x:c>
      <x:c r="G271" s="41" t="str">
        <x:v>Benches</x:v>
      </x:c>
      <x:c r="H271" s="41" t="str">
        <x:v>Olympic Flat Bench</x:v>
      </x:c>
      <x:c r="I271" s="41" t="str">
        <x:v>benches_olympic_flat_bench</x:v>
      </x:c>
      <x:c r="J271" s="41" t="str">
        <x:v>HM-2002</x:v>
      </x:c>
      <x:c r="K271" s="41" t="str">
        <x:v>Olympic Flat Bench</x:v>
      </x:c>
      <x:c r="L271" s="41" t="str">
        <x:v>Burnsport</x:v>
      </x:c>
      <x:c r="M271" s="41" t="n">
        <x:v>1</x:v>
      </x:c>
      <x:c r="N271" s="42" t="n">
        <x:v>4416</x:v>
      </x:c>
      <x:c r="O271" s="42" t="n">
        <x:f>M271*N271</x:f>
        <x:v>4416</x:v>
      </x:c>
      <x:c r="P271" s="50" t="n">
        <x:v>0.05</x:v>
      </x:c>
      <x:c r="Q271" s="42" t="n">
        <x:f>O271*P271</x:f>
        <x:v>220.8</x:v>
      </x:c>
      <x:c r="R271" s="42" t="n">
        <x:f>O271+Q271</x:f>
        <x:v>4636.8</x:v>
      </x:c>
      <x:c r="S271" s="41" t="str">
        <x:v>Budget-tier quantity</x:v>
      </x:c>
      <x:c r="T271" s="41" t="n">
        <x:v>5</x:v>
      </x:c>
      <x:c r="U271" s="41" t="str">
        <x:v>No</x:v>
      </x:c>
      <x:c r="V271" s="41" t="str">
        <x:v>Bench quantity scales with gym capacity.</x:v>
      </x:c>
    </x:row>
    <x:row r="272">
      <x:c r="A272" s="41" t="str">
        <x:v>BURN-550-700</x:v>
      </x:c>
      <x:c r="B272" s="41" t="str">
        <x:v>Burnsport</x:v>
      </x:c>
      <x:c r="C272" s="41" t="str">
        <x:v>550K-700K</x:v>
      </x:c>
      <x:c r="D272" s="41" t="n">
        <x:v>550000</x:v>
      </x:c>
      <x:c r="E272" s="41" t="n">
        <x:v>700000</x:v>
      </x:c>
      <x:c r="F272" s="41" t="n">
        <x:v>4</x:v>
      </x:c>
      <x:c r="G272" s="41" t="str">
        <x:v>Benches</x:v>
      </x:c>
      <x:c r="H272" s="41" t="str">
        <x:v>Olympic Incline Bench</x:v>
      </x:c>
      <x:c r="I272" s="41" t="str">
        <x:v>benches_olympic_incline_bench</x:v>
      </x:c>
      <x:c r="J272" s="41" t="str">
        <x:v>HM-2001</x:v>
      </x:c>
      <x:c r="K272" s="41" t="str">
        <x:v>Olympic Incline Bench</x:v>
      </x:c>
      <x:c r="L272" s="41" t="str">
        <x:v>Burnsport</x:v>
      </x:c>
      <x:c r="M272" s="41" t="n">
        <x:v>1</x:v>
      </x:c>
      <x:c r="N272" s="42" t="n">
        <x:v>5428</x:v>
      </x:c>
      <x:c r="O272" s="42" t="n">
        <x:f>M272*N272</x:f>
        <x:v>5428</x:v>
      </x:c>
      <x:c r="P272" s="50" t="n">
        <x:v>0.05</x:v>
      </x:c>
      <x:c r="Q272" s="42" t="n">
        <x:f>O272*P272</x:f>
        <x:v>271.40000000000003</x:v>
      </x:c>
      <x:c r="R272" s="42" t="n">
        <x:f>O272+Q272</x:f>
        <x:v>5699.4</x:v>
      </x:c>
      <x:c r="S272" s="41" t="str">
        <x:v>Budget-tier quantity</x:v>
      </x:c>
      <x:c r="T272" s="41" t="n">
        <x:v>6</x:v>
      </x:c>
      <x:c r="U272" s="41" t="str">
        <x:v>No</x:v>
      </x:c>
      <x:c r="V272" s="41" t="str">
        <x:v>Bench quantity scales with gym capacity.</x:v>
      </x:c>
    </x:row>
    <x:row r="273">
      <x:c r="A273" s="41" t="str">
        <x:v>BURN-550-700</x:v>
      </x:c>
      <x:c r="B273" s="41" t="str">
        <x:v>Burnsport</x:v>
      </x:c>
      <x:c r="C273" s="41" t="str">
        <x:v>550K-700K</x:v>
      </x:c>
      <x:c r="D273" s="41" t="n">
        <x:v>550000</x:v>
      </x:c>
      <x:c r="E273" s="41" t="n">
        <x:v>700000</x:v>
      </x:c>
      <x:c r="F273" s="41" t="n">
        <x:v>4</x:v>
      </x:c>
      <x:c r="G273" s="41" t="str">
        <x:v>Benches</x:v>
      </x:c>
      <x:c r="H273" s="41" t="str">
        <x:v>Olympic Decline Bench</x:v>
      </x:c>
      <x:c r="I273" s="41" t="str">
        <x:v>benches_olympic_decline_bench</x:v>
      </x:c>
      <x:c r="J273" s="41" t="str">
        <x:v>HM-2006</x:v>
      </x:c>
      <x:c r="K273" s="41" t="str">
        <x:v>Decline Bench</x:v>
      </x:c>
      <x:c r="L273" s="41" t="str">
        <x:v>Burnsport</x:v>
      </x:c>
      <x:c r="M273" s="41" t="n">
        <x:v>1</x:v>
      </x:c>
      <x:c r="N273" s="42" t="n">
        <x:v>3404</x:v>
      </x:c>
      <x:c r="O273" s="42" t="n">
        <x:f>M273*N273</x:f>
        <x:v>3404</x:v>
      </x:c>
      <x:c r="P273" s="50" t="n">
        <x:v>0.05</x:v>
      </x:c>
      <x:c r="Q273" s="42" t="n">
        <x:f>O273*P273</x:f>
        <x:v>170.20000000000002</x:v>
      </x:c>
      <x:c r="R273" s="42" t="n">
        <x:f>O273+Q273</x:f>
        <x:v>3574.2</x:v>
      </x:c>
      <x:c r="S273" s="41" t="str">
        <x:v>Budget-tier quantity</x:v>
      </x:c>
      <x:c r="T273" s="41" t="n">
        <x:v>7</x:v>
      </x:c>
      <x:c r="U273" s="41" t="str">
        <x:v>Yes</x:v>
      </x:c>
      <x:c r="V273" s="41" t="str">
        <x:v>No dedicated Burnsport Olympic decline bench found; HM-2006 Decline Bench is the current fallback.</x:v>
      </x:c>
    </x:row>
    <x:row r="274">
      <x:c r="A274" s="41" t="str">
        <x:v>BURN-550-700</x:v>
      </x:c>
      <x:c r="B274" s="41" t="str">
        <x:v>Burnsport</x:v>
      </x:c>
      <x:c r="C274" s="41" t="str">
        <x:v>550K-700K</x:v>
      </x:c>
      <x:c r="D274" s="41" t="n">
        <x:v>550000</x:v>
      </x:c>
      <x:c r="E274" s="41" t="n">
        <x:v>700000</x:v>
      </x:c>
      <x:c r="F274" s="41" t="n">
        <x:v>5</x:v>
      </x:c>
      <x:c r="G274" s="41" t="str">
        <x:v>Free Weights</x:v>
      </x:c>
      <x:c r="H274" s="41" t="str">
        <x:v>Dumbbell Full Set 2.5–50kg</x:v>
      </x:c>
      <x:c r="I274" s="41" t="str">
        <x:v>free_weights_dumbbell_full_set_2_5_50kg</x:v>
      </x:c>
      <x:c r="J274" s="41" t="str">
        <x:v>BRN-001-2</x:v>
      </x:c>
      <x:c r="K274" s="41" t="str">
        <x:v>PU Dumbbells Set - 2.5–50 kg</x:v>
      </x:c>
      <x:c r="L274" s="41" t="str">
        <x:v>Burnsport</x:v>
      </x:c>
      <x:c r="M274" s="41" t="n">
        <x:v>1</x:v>
      </x:c>
      <x:c r="N274" s="42" t="n">
        <x:v>16500</x:v>
      </x:c>
      <x:c r="O274" s="42" t="n">
        <x:f>M274*N274</x:f>
        <x:v>16500</x:v>
      </x:c>
      <x:c r="P274" s="50" t="n">
        <x:v>0.05</x:v>
      </x:c>
      <x:c r="Q274" s="42" t="n">
        <x:f>O274*P274</x:f>
        <x:v>825</x:v>
      </x:c>
      <x:c r="R274" s="42" t="n">
        <x:f>O274+Q274</x:f>
        <x:v>17325</x:v>
      </x:c>
      <x:c r="S274" s="41" t="str">
        <x:v>Brand-matched bundle</x:v>
      </x:c>
      <x:c r="T274" s="41" t="n">
        <x:v>1</x:v>
      </x:c>
      <x:c r="U274" s="41" t="str">
        <x:v>No</x:v>
      </x:c>
      <x:c r="V274" s="41" t="str">
        <x:v>Full set requires exactly 2 matching dumbbell racks.</x:v>
      </x:c>
    </x:row>
    <x:row r="275">
      <x:c r="A275" s="41" t="str">
        <x:v>BURN-550-700</x:v>
      </x:c>
      <x:c r="B275" s="41" t="str">
        <x:v>Burnsport</x:v>
      </x:c>
      <x:c r="C275" s="41" t="str">
        <x:v>550K-700K</x:v>
      </x:c>
      <x:c r="D275" s="41" t="n">
        <x:v>550000</x:v>
      </x:c>
      <x:c r="E275" s="41" t="n">
        <x:v>700000</x:v>
      </x:c>
      <x:c r="F275" s="41" t="n">
        <x:v>5</x:v>
      </x:c>
      <x:c r="G275" s="41" t="str">
        <x:v>Free Weights</x:v>
      </x:c>
      <x:c r="H275" s="41" t="str">
        <x:v>Dumbbell Half Set 2.5–25kg</x:v>
      </x:c>
      <x:c r="I275" s="41" t="str">
        <x:v>free_weights_dumbbell_half_set_2_5_25kg</x:v>
      </x:c>
      <x:c r="J275" s="41" t="str">
        <x:v>BRN-001-1</x:v>
      </x:c>
      <x:c r="K275" s="41" t="str">
        <x:v>PU Dumbbells Set - 2.5–25 kg</x:v>
      </x:c>
      <x:c r="L275" s="41" t="str">
        <x:v>Burnsport</x:v>
      </x:c>
      <x:c r="M275" s="41" t="n">
        <x:v>1</x:v>
      </x:c>
      <x:c r="N275" s="42" t="n">
        <x:v>6000</x:v>
      </x:c>
      <x:c r="O275" s="42" t="n">
        <x:f>M275*N275</x:f>
        <x:v>6000</x:v>
      </x:c>
      <x:c r="P275" s="50" t="n">
        <x:v>0.05</x:v>
      </x:c>
      <x:c r="Q275" s="42" t="n">
        <x:f>O275*P275</x:f>
        <x:v>300</x:v>
      </x:c>
      <x:c r="R275" s="42" t="n">
        <x:f>O275+Q275</x:f>
        <x:v>6300</x:v>
      </x:c>
      <x:c r="S275" s="41" t="str">
        <x:v>Brand-matched bundle</x:v>
      </x:c>
      <x:c r="T275" s="41" t="n">
        <x:v>2</x:v>
      </x:c>
      <x:c r="U275" s="41" t="str">
        <x:v>No</x:v>
      </x:c>
      <x:c r="V275" s="41" t="str">
        <x:v>Half set requires exactly 1 additional matching rack.</x:v>
      </x:c>
    </x:row>
    <x:row r="276">
      <x:c r="A276" s="41" t="str">
        <x:v>BURN-550-700</x:v>
      </x:c>
      <x:c r="B276" s="41" t="str">
        <x:v>Burnsport</x:v>
      </x:c>
      <x:c r="C276" s="41" t="str">
        <x:v>550K-700K</x:v>
      </x:c>
      <x:c r="D276" s="41" t="n">
        <x:v>550000</x:v>
      </x:c>
      <x:c r="E276" s="41" t="n">
        <x:v>700000</x:v>
      </x:c>
      <x:c r="F276" s="41" t="n">
        <x:v>5</x:v>
      </x:c>
      <x:c r="G276" s="41" t="str">
        <x:v>Free Weights</x:v>
      </x:c>
      <x:c r="H276" s="41" t="str">
        <x:v>Dumbbell Rack</x:v>
      </x:c>
      <x:c r="I276" s="41" t="str">
        <x:v>free_weights_dumbbell_rack</x:v>
      </x:c>
      <x:c r="J276" s="41" t="str">
        <x:v>HM-2017</x:v>
      </x:c>
      <x:c r="K276" s="41" t="str">
        <x:v>Dumbbell Rack - Two Tier</x:v>
      </x:c>
      <x:c r="L276" s="41" t="str">
        <x:v>Burnsport</x:v>
      </x:c>
      <x:c r="M276" s="41" t="n">
        <x:v>3</x:v>
      </x:c>
      <x:c r="N276" s="42" t="n">
        <x:v>3312</x:v>
      </x:c>
      <x:c r="O276" s="42" t="n">
        <x:f>M276*N276</x:f>
        <x:v>9936</x:v>
      </x:c>
      <x:c r="P276" s="50" t="n">
        <x:v>0.05</x:v>
      </x:c>
      <x:c r="Q276" s="42" t="n">
        <x:f>O276*P276</x:f>
        <x:v>496.8</x:v>
      </x:c>
      <x:c r="R276" s="42" t="n">
        <x:f>O276+Q276</x:f>
        <x:v>10432.8</x:v>
      </x:c>
      <x:c r="S276" s="41" t="str">
        <x:v>Derived from dumbbell bundle</x:v>
      </x:c>
      <x:c r="T276" s="41" t="n">
        <x:v>3</x:v>
      </x:c>
      <x:c r="U276" s="41" t="str">
        <x:v>No</x:v>
      </x:c>
      <x:c r="V276" s="41" t="str">
        <x:v>2 racks per full set; 1 rack per half set.</x:v>
      </x:c>
    </x:row>
    <x:row r="277">
      <x:c r="A277" s="41" t="str">
        <x:v>BURN-550-700</x:v>
      </x:c>
      <x:c r="B277" s="41" t="str">
        <x:v>Burnsport</x:v>
      </x:c>
      <x:c r="C277" s="41" t="str">
        <x:v>550K-700K</x:v>
      </x:c>
      <x:c r="D277" s="41" t="n">
        <x:v>550000</x:v>
      </x:c>
      <x:c r="E277" s="41" t="n">
        <x:v>700000</x:v>
      </x:c>
      <x:c r="F277" s="41" t="n">
        <x:v>5</x:v>
      </x:c>
      <x:c r="G277" s="41" t="str">
        <x:v>Free Weights</x:v>
      </x:c>
      <x:c r="H277" s="41" t="str">
        <x:v>PU Weight Plate 2.5kg</x:v>
      </x:c>
      <x:c r="I277" s="41" t="str">
        <x:v>free_weights_pu_weight_plate_2_5kg</x:v>
      </x:c>
      <x:c r="J277" s="41" t="str">
        <x:v>BRN-003</x:v>
      </x:c>
      <x:c r="K277" s="41" t="str">
        <x:v>PU Weight Plate - 2.5 kg</x:v>
      </x:c>
      <x:c r="L277" s="41" t="str">
        <x:v>Burnsport</x:v>
      </x:c>
      <x:c r="M277" s="41" t="n">
        <x:v>16</x:v>
      </x:c>
      <x:c r="N277" s="42" t="n">
        <x:v>45</x:v>
      </x:c>
      <x:c r="O277" s="42" t="n">
        <x:f>M277*N277</x:f>
        <x:v>720</x:v>
      </x:c>
      <x:c r="P277" s="50" t="n">
        <x:v>0.05</x:v>
      </x:c>
      <x:c r="Q277" s="42" t="n">
        <x:f>O277*P277</x:f>
        <x:v>36</x:v>
      </x:c>
      <x:c r="R277" s="42" t="n">
        <x:f>O277+Q277</x:f>
        <x:v>756</x:v>
      </x:c>
      <x:c r="S277" s="41" t="str">
        <x:v>Brand + premium family locked</x:v>
      </x:c>
      <x:c r="T277" s="41" t="n">
        <x:v>11</x:v>
      </x:c>
      <x:c r="U277" s="41" t="str">
        <x:v>No</x:v>
      </x:c>
      <x:c r="V277" s="41" t="str">
        <x:v>16 pcs each size. One complete family only; never mix plate families.</x:v>
      </x:c>
    </x:row>
    <x:row r="278">
      <x:c r="A278" s="41" t="str">
        <x:v>BURN-550-700</x:v>
      </x:c>
      <x:c r="B278" s="41" t="str">
        <x:v>Burnsport</x:v>
      </x:c>
      <x:c r="C278" s="41" t="str">
        <x:v>550K-700K</x:v>
      </x:c>
      <x:c r="D278" s="41" t="n">
        <x:v>550000</x:v>
      </x:c>
      <x:c r="E278" s="41" t="n">
        <x:v>700000</x:v>
      </x:c>
      <x:c r="F278" s="41" t="n">
        <x:v>5</x:v>
      </x:c>
      <x:c r="G278" s="41" t="str">
        <x:v>Free Weights</x:v>
      </x:c>
      <x:c r="H278" s="41" t="str">
        <x:v>PU Weight Plate 5kg</x:v>
      </x:c>
      <x:c r="I278" s="41" t="str">
        <x:v>free_weights_pu_weight_plate_5kg</x:v>
      </x:c>
      <x:c r="J278" s="41" t="str">
        <x:v>BRN-003-2</x:v>
      </x:c>
      <x:c r="K278" s="41" t="str">
        <x:v>PU Weight Plate - 5 kg</x:v>
      </x:c>
      <x:c r="L278" s="41" t="str">
        <x:v>Burnsport</x:v>
      </x:c>
      <x:c r="M278" s="41" t="n">
        <x:v>16</x:v>
      </x:c>
      <x:c r="N278" s="42" t="n">
        <x:v>90</x:v>
      </x:c>
      <x:c r="O278" s="42" t="n">
        <x:f>M278*N278</x:f>
        <x:v>1440</x:v>
      </x:c>
      <x:c r="P278" s="50" t="n">
        <x:v>0.05</x:v>
      </x:c>
      <x:c r="Q278" s="42" t="n">
        <x:f>O278*P278</x:f>
        <x:v>72</x:v>
      </x:c>
      <x:c r="R278" s="42" t="n">
        <x:f>O278+Q278</x:f>
        <x:v>1512</x:v>
      </x:c>
      <x:c r="S278" s="41" t="str">
        <x:v>Brand + premium family locked</x:v>
      </x:c>
      <x:c r="T278" s="41" t="n">
        <x:v>12</x:v>
      </x:c>
      <x:c r="U278" s="41" t="str">
        <x:v>No</x:v>
      </x:c>
      <x:c r="V278" s="41" t="str">
        <x:v>16 pcs each size. One complete family only; never mix plate families.</x:v>
      </x:c>
    </x:row>
    <x:row r="279">
      <x:c r="A279" s="41" t="str">
        <x:v>BURN-550-700</x:v>
      </x:c>
      <x:c r="B279" s="41" t="str">
        <x:v>Burnsport</x:v>
      </x:c>
      <x:c r="C279" s="41" t="str">
        <x:v>550K-700K</x:v>
      </x:c>
      <x:c r="D279" s="41" t="n">
        <x:v>550000</x:v>
      </x:c>
      <x:c r="E279" s="41" t="n">
        <x:v>700000</x:v>
      </x:c>
      <x:c r="F279" s="41" t="n">
        <x:v>5</x:v>
      </x:c>
      <x:c r="G279" s="41" t="str">
        <x:v>Free Weights</x:v>
      </x:c>
      <x:c r="H279" s="41" t="str">
        <x:v>PU Weight Plate 10kg</x:v>
      </x:c>
      <x:c r="I279" s="41" t="str">
        <x:v>free_weights_pu_weight_plate_10kg</x:v>
      </x:c>
      <x:c r="J279" s="41" t="str">
        <x:v>BRN-003-3</x:v>
      </x:c>
      <x:c r="K279" s="41" t="str">
        <x:v>PU Weight Plate - 10 kg</x:v>
      </x:c>
      <x:c r="L279" s="41" t="str">
        <x:v>Burnsport</x:v>
      </x:c>
      <x:c r="M279" s="41" t="n">
        <x:v>16</x:v>
      </x:c>
      <x:c r="N279" s="42" t="n">
        <x:v>180</x:v>
      </x:c>
      <x:c r="O279" s="42" t="n">
        <x:f>M279*N279</x:f>
        <x:v>2880</x:v>
      </x:c>
      <x:c r="P279" s="50" t="n">
        <x:v>0.05</x:v>
      </x:c>
      <x:c r="Q279" s="42" t="n">
        <x:f>O279*P279</x:f>
        <x:v>144</x:v>
      </x:c>
      <x:c r="R279" s="42" t="n">
        <x:f>O279+Q279</x:f>
        <x:v>3024</x:v>
      </x:c>
      <x:c r="S279" s="41" t="str">
        <x:v>Brand + premium family locked</x:v>
      </x:c>
      <x:c r="T279" s="41" t="n">
        <x:v>13</x:v>
      </x:c>
      <x:c r="U279" s="41" t="str">
        <x:v>No</x:v>
      </x:c>
      <x:c r="V279" s="41" t="str">
        <x:v>16 pcs each size. One complete family only; never mix plate families.</x:v>
      </x:c>
    </x:row>
    <x:row r="280">
      <x:c r="A280" s="41" t="str">
        <x:v>BURN-550-700</x:v>
      </x:c>
      <x:c r="B280" s="41" t="str">
        <x:v>Burnsport</x:v>
      </x:c>
      <x:c r="C280" s="41" t="str">
        <x:v>550K-700K</x:v>
      </x:c>
      <x:c r="D280" s="41" t="n">
        <x:v>550000</x:v>
      </x:c>
      <x:c r="E280" s="41" t="n">
        <x:v>700000</x:v>
      </x:c>
      <x:c r="F280" s="41" t="n">
        <x:v>5</x:v>
      </x:c>
      <x:c r="G280" s="41" t="str">
        <x:v>Free Weights</x:v>
      </x:c>
      <x:c r="H280" s="41" t="str">
        <x:v>PU Weight Plate 20kg</x:v>
      </x:c>
      <x:c r="I280" s="41" t="str">
        <x:v>free_weights_pu_weight_plate_20kg</x:v>
      </x:c>
      <x:c r="J280" s="41" t="str">
        <x:v>BRN-003-5</x:v>
      </x:c>
      <x:c r="K280" s="41" t="str">
        <x:v>PU Weight Plate - 20 kg</x:v>
      </x:c>
      <x:c r="L280" s="41" t="str">
        <x:v>Burnsport</x:v>
      </x:c>
      <x:c r="M280" s="41" t="n">
        <x:v>16</x:v>
      </x:c>
      <x:c r="N280" s="42" t="n">
        <x:v>360</x:v>
      </x:c>
      <x:c r="O280" s="42" t="n">
        <x:f>M280*N280</x:f>
        <x:v>5760</x:v>
      </x:c>
      <x:c r="P280" s="50" t="n">
        <x:v>0.05</x:v>
      </x:c>
      <x:c r="Q280" s="42" t="n">
        <x:f>O280*P280</x:f>
        <x:v>288</x:v>
      </x:c>
      <x:c r="R280" s="42" t="n">
        <x:f>O280+Q280</x:f>
        <x:v>6048</x:v>
      </x:c>
      <x:c r="S280" s="41" t="str">
        <x:v>Brand + premium family locked</x:v>
      </x:c>
      <x:c r="T280" s="41" t="n">
        <x:v>14</x:v>
      </x:c>
      <x:c r="U280" s="41" t="str">
        <x:v>No</x:v>
      </x:c>
      <x:c r="V280" s="41" t="str">
        <x:v>16 pcs each size. One complete family only; never mix plate families.</x:v>
      </x:c>
    </x:row>
    <x:row r="281">
      <x:c r="A281" s="41" t="str">
        <x:v>BURN-550-700</x:v>
      </x:c>
      <x:c r="B281" s="41" t="str">
        <x:v>Burnsport</x:v>
      </x:c>
      <x:c r="C281" s="41" t="str">
        <x:v>550K-700K</x:v>
      </x:c>
      <x:c r="D281" s="41" t="n">
        <x:v>550000</x:v>
      </x:c>
      <x:c r="E281" s="41" t="n">
        <x:v>700000</x:v>
      </x:c>
      <x:c r="F281" s="41" t="n">
        <x:v>5</x:v>
      </x:c>
      <x:c r="G281" s="41" t="str">
        <x:v>Free Weights</x:v>
      </x:c>
      <x:c r="H281" s="41" t="str">
        <x:v>Barbell Set</x:v>
      </x:c>
      <x:c r="I281" s="41" t="str">
        <x:v>free_weights_barbell_set</x:v>
      </x:c>
      <x:c r="J281" s="41" t="str">
        <x:v>PM3015-250</x:v>
      </x:c>
      <x:c r="K281" s="41" t="str">
        <x:v>Rubber Coated Barbell Set - (250 kg)</x:v>
      </x:c>
      <x:c r="L281" s="41" t="str">
        <x:v>Premier</x:v>
      </x:c>
      <x:c r="M281" s="41" t="n">
        <x:v>1</x:v>
      </x:c>
      <x:c r="N281" s="42" t="n">
        <x:v>3750</x:v>
      </x:c>
      <x:c r="O281" s="42" t="n">
        <x:f>M281*N281</x:f>
        <x:v>3750</x:v>
      </x:c>
      <x:c r="P281" s="50" t="n">
        <x:v>0.05</x:v>
      </x:c>
      <x:c r="Q281" s="42" t="n">
        <x:f>O281*P281</x:f>
        <x:v>187.5</x:v>
      </x:c>
      <x:c r="R281" s="42" t="n">
        <x:f>O281+Q281</x:f>
        <x:v>3937.5</x:v>
      </x:c>
      <x:c r="S281" s="41" t="str">
        <x:v>Complete set</x:v>
      </x:c>
      <x:c r="T281" s="41" t="n">
        <x:v>20</x:v>
      </x:c>
      <x:c r="U281" s="41" t="str">
        <x:v>Yes</x:v>
      </x:c>
      <x:c r="V281" s="41" t="str">
        <x:v>No Burnsport barbell set exists in the uploaded product list. Premier set is used as shared fallback; approval required before fully automatic use.</x:v>
      </x:c>
    </x:row>
    <x:row r="282">
      <x:c r="A282" s="41" t="str">
        <x:v>BURN-550-700</x:v>
      </x:c>
      <x:c r="B282" s="41" t="str">
        <x:v>Burnsport</x:v>
      </x:c>
      <x:c r="C282" s="41" t="str">
        <x:v>550K-700K</x:v>
      </x:c>
      <x:c r="D282" s="41" t="n">
        <x:v>550000</x:v>
      </x:c>
      <x:c r="E282" s="41" t="n">
        <x:v>700000</x:v>
      </x:c>
      <x:c r="F282" s="41" t="n">
        <x:v>5</x:v>
      </x:c>
      <x:c r="G282" s="41" t="str">
        <x:v>Free Weights</x:v>
      </x:c>
      <x:c r="H282" s="41" t="str">
        <x:v>Barbell Rack</x:v>
      </x:c>
      <x:c r="I282" s="41" t="str">
        <x:v>free_weights_barbell_rack</x:v>
      </x:c>
      <x:c r="J282" s="41" t="str">
        <x:v>HM-2023</x:v>
      </x:c>
      <x:c r="K282" s="41" t="str">
        <x:v>Barbell Rack</x:v>
      </x:c>
      <x:c r="L282" s="41" t="str">
        <x:v>Burnsport</x:v>
      </x:c>
      <x:c r="M282" s="41" t="n">
        <x:v>1</x:v>
      </x:c>
      <x:c r="N282" s="42" t="n">
        <x:v>4351.6</x:v>
      </x:c>
      <x:c r="O282" s="42" t="n">
        <x:f>M282*N282</x:f>
        <x:v>4351.6</x:v>
      </x:c>
      <x:c r="P282" s="50" t="n">
        <x:v>0.05</x:v>
      </x:c>
      <x:c r="Q282" s="42" t="n">
        <x:f>O282*P282</x:f>
        <x:v>217.58000000000004</x:v>
      </x:c>
      <x:c r="R282" s="42" t="n">
        <x:f>O282+Q282</x:f>
        <x:v>4569.18</x:v>
      </x:c>
      <x:c r="S282" s="41" t="str">
        <x:v>1 matching rack per set</x:v>
      </x:c>
      <x:c r="T282" s="41" t="n">
        <x:v>21</x:v>
      </x:c>
      <x:c r="U282" s="41" t="str">
        <x:v>No</x:v>
      </x:c>
      <x:c r="V282" s="41" t="str">
        <x:v>Rack brand follows the gym brand; 1 rack per barbell set.</x:v>
      </x:c>
    </x:row>
  </x:sheetData>
  <x:mergeCells>
    <x:mergeCell ref="A1:V1"/>
  </x:mergeCells>
  <x:conditionalFormatting sqref="U3:U282">
    <x:cfRule type="expression" dxfId="2" priority="1">
      <x:formula>U3="Yes"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197d4bd9564f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9" hidden="0" customWidth="1"/>
    <x:col min="4" max="4" width="16" hidden="0" customWidth="1"/>
    <x:col min="5" max="5" width="40" hidden="0" customWidth="1"/>
    <x:col min="6" max="6" width="14" hidden="0" customWidth="1"/>
    <x:col min="7" max="7" width="14" hidden="0" customWidth="1"/>
    <x:col min="8" max="8" width="18" hidden="0" customWidth="1"/>
    <x:col min="9" max="9" width="14" hidden="0" customWidth="1"/>
    <x:col min="10" max="10" width="46" hidden="0" customWidth="1"/>
    <x:col min="11" max="11" width="34" hidden="0" customWidth="1"/>
  </x:cols>
  <x:sheetData>
    <x:row r="1">
      <x:c r="A1" s="5" t="str">
        <x:v>Strength movement priority — default products used by the budget profiles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>
      <x:c r="A3" s="20" t="str">
        <x:v>Brand</x:v>
      </x:c>
      <x:c r="B3" s="20" t="str">
        <x:v>Area</x:v>
      </x:c>
      <x:c r="C3" s="20" t="str">
        <x:v>Priority</x:v>
      </x:c>
      <x:c r="D3" s="20" t="str">
        <x:v>Product Code</x:v>
      </x:c>
      <x:c r="E3" s="20" t="str">
        <x:v>Product Name</x:v>
      </x:c>
      <x:c r="F3" s="20" t="str">
        <x:v>Series Prefix</x:v>
      </x:c>
      <x:c r="G3" s="20" t="str">
        <x:v>Load Type</x:v>
      </x:c>
      <x:c r="H3" s="20" t="str">
        <x:v>Equipment Role</x:v>
      </x:c>
      <x:c r="I3" s="20" t="str">
        <x:v>Unit Price AED</x:v>
      </x:c>
      <x:c r="J3" s="20" t="str">
        <x:v>Automation Rule</x:v>
      </x:c>
      <x:c r="K3" s="20" t="str">
        <x:v>Source</x:v>
      </x:c>
    </x:row>
    <x:row r="4">
      <x:c r="A4" s="41" t="str">
        <x:v>Premier</x:v>
      </x:c>
      <x:c r="B4" s="41" t="str">
        <x:v>Chest</x:v>
      </x:c>
      <x:c r="C4" s="41" t="n">
        <x:v>1</x:v>
      </x:c>
      <x:c r="D4" s="41" t="str">
        <x:v>APN35</x:v>
      </x:c>
      <x:c r="E4" s="41" t="str">
        <x:v>Chest Press</x:v>
      </x:c>
      <x:c r="F4" s="41" t="str">
        <x:v>APN</x:v>
      </x:c>
      <x:c r="G4" s="41" t="str">
        <x:v>Pin Loaded</x:v>
      </x:c>
      <x:c r="H4" s="41" t="str">
        <x:v>Chest</x:v>
      </x:c>
      <x:c r="I4" s="42" t="n">
        <x:v>6470</x:v>
      </x:c>
      <x:c r="J4" s="41" t="str">
        <x:v>Premier: preserve area/movement and substitute by selected approved series.</x:v>
      </x:c>
      <x:c r="K4" s="41" t="str">
        <x:v>EagleFlow_Product_Bulk_Update (2).xlsx</x:v>
      </x:c>
    </x:row>
    <x:row r="5">
      <x:c r="A5" s="41" t="str">
        <x:v>Premier</x:v>
      </x:c>
      <x:c r="B5" s="41" t="str">
        <x:v>Chest</x:v>
      </x:c>
      <x:c r="C5" s="41" t="n">
        <x:v>2</x:v>
      </x:c>
      <x:c r="D5" s="41" t="str">
        <x:v>APL06</x:v>
      </x:c>
      <x:c r="E5" s="41" t="str">
        <x:v>Incline Chest Press</x:v>
      </x:c>
      <x:c r="F5" s="41" t="str">
        <x:v>APL</x:v>
      </x:c>
      <x:c r="G5" s="41" t="str">
        <x:v>Plate Loaded</x:v>
      </x:c>
      <x:c r="H5" s="41" t="str">
        <x:v>Chest</x:v>
      </x:c>
      <x:c r="I5" s="42" t="n">
        <x:v>4660</x:v>
      </x:c>
      <x:c r="J5" s="41" t="str">
        <x:v>Premier: preserve area/movement and substitute by selected approved series.</x:v>
      </x:c>
      <x:c r="K5" s="41" t="str">
        <x:v>EagleFlow_Product_Bulk_Update (2).xlsx</x:v>
      </x:c>
    </x:row>
    <x:row r="6">
      <x:c r="A6" s="41" t="str">
        <x:v>Premier</x:v>
      </x:c>
      <x:c r="B6" s="41" t="str">
        <x:v>Chest</x:v>
      </x:c>
      <x:c r="C6" s="41" t="n">
        <x:v>3</x:v>
      </x:c>
      <x:c r="D6" s="41" t="str">
        <x:v>APL45</x:v>
      </x:c>
      <x:c r="E6" s="41" t="str">
        <x:v>Commercial Plate Loaded Incline Fly</x:v>
      </x:c>
      <x:c r="F6" s="41" t="str">
        <x:v>APL</x:v>
      </x:c>
      <x:c r="G6" s="41" t="str">
        <x:v>Plate Loaded</x:v>
      </x:c>
      <x:c r="H6" s="41" t="str">
        <x:v>Chest</x:v>
      </x:c>
      <x:c r="I6" s="42" t="n">
        <x:v>2680</x:v>
      </x:c>
      <x:c r="J6" s="41" t="str">
        <x:v>Premier: preserve area/movement and substitute by selected approved series.</x:v>
      </x:c>
      <x:c r="K6" s="41" t="str">
        <x:v>EagleFlow_Product_Bulk_Update (2).xlsx</x:v>
      </x:c>
    </x:row>
    <x:row r="7">
      <x:c r="A7" s="41" t="str">
        <x:v>Premier</x:v>
      </x:c>
      <x:c r="B7" s="41" t="str">
        <x:v>Chest</x:v>
      </x:c>
      <x:c r="C7" s="41" t="n">
        <x:v>4</x:v>
      </x:c>
      <x:c r="D7" s="41" t="str">
        <x:v>APL29</x:v>
      </x:c>
      <x:c r="E7" s="41" t="str">
        <x:v>Standing Chest Press</x:v>
      </x:c>
      <x:c r="F7" s="41" t="str">
        <x:v>APL</x:v>
      </x:c>
      <x:c r="G7" s="41" t="str">
        <x:v>Plate Loaded</x:v>
      </x:c>
      <x:c r="H7" s="41" t="str">
        <x:v>Chest</x:v>
      </x:c>
      <x:c r="I7" s="42" t="n">
        <x:v>5710</x:v>
      </x:c>
      <x:c r="J7" s="41" t="str">
        <x:v>Premier: preserve area/movement and substitute by selected approved series.</x:v>
      </x:c>
      <x:c r="K7" s="41" t="str">
        <x:v>EagleFlow_Product_Bulk_Update (2).xlsx</x:v>
      </x:c>
    </x:row>
    <x:row r="8">
      <x:c r="A8" s="41" t="str">
        <x:v>Premier</x:v>
      </x:c>
      <x:c r="B8" s="41" t="str">
        <x:v>Chest</x:v>
      </x:c>
      <x:c r="C8" s="41" t="n">
        <x:v>5</x:v>
      </x:c>
      <x:c r="D8" s="41" t="str">
        <x:v>APL16</x:v>
      </x:c>
      <x:c r="E8" s="41" t="str">
        <x:v>Horizontal ISO Chest Press</x:v>
      </x:c>
      <x:c r="F8" s="41" t="str">
        <x:v>APL</x:v>
      </x:c>
      <x:c r="G8" s="41" t="str">
        <x:v>Plate Loaded</x:v>
      </x:c>
      <x:c r="H8" s="41" t="str">
        <x:v>Chest</x:v>
      </x:c>
      <x:c r="I8" s="42" t="n">
        <x:v>3650</x:v>
      </x:c>
      <x:c r="J8" s="41" t="str">
        <x:v>Premier: preserve area/movement and substitute by selected approved series.</x:v>
      </x:c>
      <x:c r="K8" s="41" t="str">
        <x:v>EagleFlow_Product_Bulk_Update (2).xlsx</x:v>
      </x:c>
    </x:row>
    <x:row r="9">
      <x:c r="A9" s="41" t="str">
        <x:v>Premier</x:v>
      </x:c>
      <x:c r="B9" s="41" t="str">
        <x:v>Shoulder</x:v>
      </x:c>
      <x:c r="C9" s="41" t="n">
        <x:v>1</x:v>
      </x:c>
      <x:c r="D9" s="41" t="str">
        <x:v>APN16</x:v>
      </x:c>
      <x:c r="E9" s="41" t="str">
        <x:v>Shoulder Press</x:v>
      </x:c>
      <x:c r="F9" s="41" t="str">
        <x:v>APN</x:v>
      </x:c>
      <x:c r="G9" s="41" t="str">
        <x:v>Pin Loaded</x:v>
      </x:c>
      <x:c r="H9" s="41" t="str">
        <x:v>Shoulder</x:v>
      </x:c>
      <x:c r="I9" s="42" t="n">
        <x:v>6140</x:v>
      </x:c>
      <x:c r="J9" s="41" t="str">
        <x:v>Premier: preserve area/movement and substitute by selected approved series.</x:v>
      </x:c>
      <x:c r="K9" s="41" t="str">
        <x:v>EagleFlow_Product_Bulk_Update (2).xlsx</x:v>
      </x:c>
    </x:row>
    <x:row r="10">
      <x:c r="A10" s="41" t="str">
        <x:v>Premier</x:v>
      </x:c>
      <x:c r="B10" s="41" t="str">
        <x:v>Shoulder</x:v>
      </x:c>
      <x:c r="C10" s="41" t="n">
        <x:v>2</x:v>
      </x:c>
      <x:c r="D10" s="41" t="str">
        <x:v>APN24</x:v>
      </x:c>
      <x:c r="E10" s="41" t="str">
        <x:v>Lateral Raise</x:v>
      </x:c>
      <x:c r="F10" s="41" t="str">
        <x:v>APN</x:v>
      </x:c>
      <x:c r="G10" s="41" t="str">
        <x:v>Pin Loaded</x:v>
      </x:c>
      <x:c r="H10" s="41" t="str">
        <x:v>Shoulder</x:v>
      </x:c>
      <x:c r="I10" s="42" t="n">
        <x:v>6140</x:v>
      </x:c>
      <x:c r="J10" s="41" t="str">
        <x:v>Premier: preserve area/movement and substitute by selected approved series.</x:v>
      </x:c>
      <x:c r="K10" s="41" t="str">
        <x:v>EagleFlow_Product_Bulk_Update (2).xlsx</x:v>
      </x:c>
    </x:row>
    <x:row r="11">
      <x:c r="A11" s="41" t="str">
        <x:v>Premier</x:v>
      </x:c>
      <x:c r="B11" s="41" t="str">
        <x:v>Shoulder</x:v>
      </x:c>
      <x:c r="C11" s="41" t="n">
        <x:v>3</x:v>
      </x:c>
      <x:c r="D11" s="41" t="str">
        <x:v>APL38</x:v>
      </x:c>
      <x:c r="E11" s="41" t="str">
        <x:v>Shoulder Press</x:v>
      </x:c>
      <x:c r="F11" s="41" t="str">
        <x:v>APL</x:v>
      </x:c>
      <x:c r="G11" s="41" t="str">
        <x:v>Plate Loaded</x:v>
      </x:c>
      <x:c r="H11" s="41" t="str">
        <x:v>Shoulder</x:v>
      </x:c>
      <x:c r="I11" s="42" t="n">
        <x:v>4210</x:v>
      </x:c>
      <x:c r="J11" s="41" t="str">
        <x:v>Premier: preserve area/movement and substitute by selected approved series.</x:v>
      </x:c>
      <x:c r="K11" s="41" t="str">
        <x:v>EagleFlow_Product_Bulk_Update (2).xlsx</x:v>
      </x:c>
    </x:row>
    <x:row r="12">
      <x:c r="A12" s="41" t="str">
        <x:v>Premier</x:v>
      </x:c>
      <x:c r="B12" s="41" t="str">
        <x:v>Shoulder</x:v>
      </x:c>
      <x:c r="C12" s="41" t="n">
        <x:v>4</x:v>
      </x:c>
      <x:c r="D12" s="41" t="str">
        <x:v>APL05</x:v>
      </x:c>
      <x:c r="E12" s="41" t="str">
        <x:v>Shoulder Press</x:v>
      </x:c>
      <x:c r="F12" s="41" t="str">
        <x:v>APL</x:v>
      </x:c>
      <x:c r="G12" s="41" t="str">
        <x:v>Plate Loaded</x:v>
      </x:c>
      <x:c r="H12" s="41" t="str">
        <x:v>Shoulder</x:v>
      </x:c>
      <x:c r="I12" s="42" t="n">
        <x:v>4660</x:v>
      </x:c>
      <x:c r="J12" s="41" t="str">
        <x:v>Premier: preserve area/movement and substitute by selected approved series.</x:v>
      </x:c>
      <x:c r="K12" s="41" t="str">
        <x:v>EagleFlow_Product_Bulk_Update (2).xlsx</x:v>
      </x:c>
    </x:row>
    <x:row r="13">
      <x:c r="A13" s="41" t="str">
        <x:v>Premier</x:v>
      </x:c>
      <x:c r="B13" s="41" t="str">
        <x:v>Back</x:v>
      </x:c>
      <x:c r="C13" s="41" t="n">
        <x:v>1</x:v>
      </x:c>
      <x:c r="D13" s="41" t="str">
        <x:v>APN17</x:v>
      </x:c>
      <x:c r="E13" s="41" t="str">
        <x:v>Lat Pulldown</x:v>
      </x:c>
      <x:c r="F13" s="41" t="str">
        <x:v>APN</x:v>
      </x:c>
      <x:c r="G13" s="41" t="str">
        <x:v>Pin Loaded</x:v>
      </x:c>
      <x:c r="H13" s="41" t="str">
        <x:v>Back</x:v>
      </x:c>
      <x:c r="I13" s="42" t="n">
        <x:v>6140</x:v>
      </x:c>
      <x:c r="J13" s="41" t="str">
        <x:v>Premier: preserve area/movement and substitute by selected approved series.</x:v>
      </x:c>
      <x:c r="K13" s="41" t="str">
        <x:v>EagleFlow_Product_Bulk_Update (2).xlsx</x:v>
      </x:c>
    </x:row>
    <x:row r="14">
      <x:c r="A14" s="41" t="str">
        <x:v>Premier</x:v>
      </x:c>
      <x:c r="B14" s="41" t="str">
        <x:v>Back</x:v>
      </x:c>
      <x:c r="C14" s="41" t="n">
        <x:v>2</x:v>
      </x:c>
      <x:c r="D14" s="41" t="str">
        <x:v>APN15</x:v>
      </x:c>
      <x:c r="E14" s="41" t="str">
        <x:v>Seated Row</x:v>
      </x:c>
      <x:c r="F14" s="41" t="str">
        <x:v>APN</x:v>
      </x:c>
      <x:c r="G14" s="41" t="str">
        <x:v>Pin Loaded</x:v>
      </x:c>
      <x:c r="H14" s="41" t="str">
        <x:v>Back</x:v>
      </x:c>
      <x:c r="I14" s="42" t="n">
        <x:v>6140</x:v>
      </x:c>
      <x:c r="J14" s="41" t="str">
        <x:v>Premier: preserve area/movement and substitute by selected approved series.</x:v>
      </x:c>
      <x:c r="K14" s="41" t="str">
        <x:v>EagleFlow_Product_Bulk_Update (2).xlsx</x:v>
      </x:c>
    </x:row>
    <x:row r="15">
      <x:c r="A15" s="41" t="str">
        <x:v>Premier</x:v>
      </x:c>
      <x:c r="B15" s="41" t="str">
        <x:v>Back</x:v>
      </x:c>
      <x:c r="C15" s="41" t="n">
        <x:v>3</x:v>
      </x:c>
      <x:c r="D15" s="41" t="str">
        <x:v>APL11</x:v>
      </x:c>
      <x:c r="E15" s="41" t="str">
        <x:v>Low Row</x:v>
      </x:c>
      <x:c r="F15" s="41" t="str">
        <x:v>APL</x:v>
      </x:c>
      <x:c r="G15" s="41" t="str">
        <x:v>Plate Loaded</x:v>
      </x:c>
      <x:c r="H15" s="41" t="str">
        <x:v>Back</x:v>
      </x:c>
      <x:c r="I15" s="42" t="n">
        <x:v>4660</x:v>
      </x:c>
      <x:c r="J15" s="41" t="str">
        <x:v>Premier: preserve area/movement and substitute by selected approved series.</x:v>
      </x:c>
      <x:c r="K15" s="41" t="str">
        <x:v>EagleFlow_Product_Bulk_Update (2).xlsx</x:v>
      </x:c>
    </x:row>
    <x:row r="16">
      <x:c r="A16" s="41" t="str">
        <x:v>Premier</x:v>
      </x:c>
      <x:c r="B16" s="41" t="str">
        <x:v>Back</x:v>
      </x:c>
      <x:c r="C16" s="41" t="n">
        <x:v>4</x:v>
      </x:c>
      <x:c r="D16" s="41" t="str">
        <x:v>APL34</x:v>
      </x:c>
      <x:c r="E16" s="41" t="str">
        <x:v>Incline T-Bar Row With Adj Handle</x:v>
      </x:c>
      <x:c r="F16" s="41" t="str">
        <x:v>APL</x:v>
      </x:c>
      <x:c r="G16" s="41" t="str">
        <x:v>Plate Loaded</x:v>
      </x:c>
      <x:c r="H16" s="41" t="str">
        <x:v>Back</x:v>
      </x:c>
      <x:c r="I16" s="42" t="n">
        <x:v>3500</x:v>
      </x:c>
      <x:c r="J16" s="41" t="str">
        <x:v>Premier: preserve area/movement and substitute by selected approved series.</x:v>
      </x:c>
      <x:c r="K16" s="41" t="str">
        <x:v>EagleFlow_Product_Bulk_Update (2).xlsx</x:v>
      </x:c>
    </x:row>
    <x:row r="17">
      <x:c r="A17" s="41" t="str">
        <x:v>Premier</x:v>
      </x:c>
      <x:c r="B17" s="41" t="str">
        <x:v>Back</x:v>
      </x:c>
      <x:c r="C17" s="41" t="n">
        <x:v>5</x:v>
      </x:c>
      <x:c r="D17" s="41" t="str">
        <x:v>APL18</x:v>
      </x:c>
      <x:c r="E17" s="41" t="str">
        <x:v>Commercial Plate Loaded Pull Over</x:v>
      </x:c>
      <x:c r="F17" s="41" t="str">
        <x:v>APL</x:v>
      </x:c>
      <x:c r="G17" s="41" t="str">
        <x:v>Plate Loaded</x:v>
      </x:c>
      <x:c r="H17" s="41" t="str">
        <x:v>Back</x:v>
      </x:c>
      <x:c r="I17" s="42" t="n">
        <x:v>4550</x:v>
      </x:c>
      <x:c r="J17" s="41" t="str">
        <x:v>Premier: preserve area/movement and substitute by selected approved series.</x:v>
      </x:c>
      <x:c r="K17" s="41" t="str">
        <x:v>EagleFlow_Product_Bulk_Update (2).xlsx</x:v>
      </x:c>
    </x:row>
    <x:row r="18">
      <x:c r="A18" s="41" t="str">
        <x:v>Premier</x:v>
      </x:c>
      <x:c r="B18" s="41" t="str">
        <x:v>Back</x:v>
      </x:c>
      <x:c r="C18" s="41" t="n">
        <x:v>6</x:v>
      </x:c>
      <x:c r="D18" s="41" t="str">
        <x:v>APN32</x:v>
      </x:c>
      <x:c r="E18" s="41" t="str">
        <x:v>Ultimate Back Extension</x:v>
      </x:c>
      <x:c r="F18" s="41" t="str">
        <x:v>APN</x:v>
      </x:c>
      <x:c r="G18" s="41" t="str">
        <x:v>Pin Loaded</x:v>
      </x:c>
      <x:c r="H18" s="41" t="str">
        <x:v>Back</x:v>
      </x:c>
      <x:c r="I18" s="42" t="n">
        <x:v>6140</x:v>
      </x:c>
      <x:c r="J18" s="41" t="str">
        <x:v>Premier: preserve area/movement and substitute by selected approved series.</x:v>
      </x:c>
      <x:c r="K18" s="41" t="str">
        <x:v>EagleFlow_Product_Bulk_Update (2).xlsx</x:v>
      </x:c>
    </x:row>
    <x:row r="19">
      <x:c r="A19" s="41" t="str">
        <x:v>Premier</x:v>
      </x:c>
      <x:c r="B19" s="41" t="str">
        <x:v>Back</x:v>
      </x:c>
      <x:c r="C19" s="41" t="n">
        <x:v>7</x:v>
      </x:c>
      <x:c r="D19" s="41" t="str">
        <x:v>APN11</x:v>
      </x:c>
      <x:c r="E19" s="41" t="str">
        <x:v>Seated Horizontal Pully</x:v>
      </x:c>
      <x:c r="F19" s="41" t="str">
        <x:v>APN</x:v>
      </x:c>
      <x:c r="G19" s="41" t="str">
        <x:v>Pin Loaded</x:v>
      </x:c>
      <x:c r="H19" s="41" t="str">
        <x:v>Back</x:v>
      </x:c>
      <x:c r="I19" s="42" t="n">
        <x:v>6140</x:v>
      </x:c>
      <x:c r="J19" s="41" t="str">
        <x:v>Premier: preserve area/movement and substitute by selected approved series.</x:v>
      </x:c>
      <x:c r="K19" s="41" t="str">
        <x:v>EagleFlow_Product_Bulk_Update (2).xlsx</x:v>
      </x:c>
    </x:row>
    <x:row r="20">
      <x:c r="A20" s="41" t="str">
        <x:v>Premier</x:v>
      </x:c>
      <x:c r="B20" s="41" t="str">
        <x:v>Back</x:v>
      </x:c>
      <x:c r="C20" s="41" t="n">
        <x:v>8</x:v>
      </x:c>
      <x:c r="D20" s="41" t="str">
        <x:v>APL02</x:v>
      </x:c>
      <x:c r="E20" s="41" t="str">
        <x:v>Multi-Way Row</x:v>
      </x:c>
      <x:c r="F20" s="41" t="str">
        <x:v>APL</x:v>
      </x:c>
      <x:c r="G20" s="41" t="str">
        <x:v>Plate Loaded</x:v>
      </x:c>
      <x:c r="H20" s="41" t="str">
        <x:v>Back</x:v>
      </x:c>
      <x:c r="I20" s="42" t="n">
        <x:v>4800</x:v>
      </x:c>
      <x:c r="J20" s="41" t="str">
        <x:v>Premier: preserve area/movement and substitute by selected approved series.</x:v>
      </x:c>
      <x:c r="K20" s="41" t="str">
        <x:v>EagleFlow_Product_Bulk_Update (2).xlsx</x:v>
      </x:c>
    </x:row>
    <x:row r="21">
      <x:c r="A21" s="41" t="str">
        <x:v>Premier</x:v>
      </x:c>
      <x:c r="B21" s="41" t="str">
        <x:v>Arms</x:v>
      </x:c>
      <x:c r="C21" s="41" t="n">
        <x:v>1</x:v>
      </x:c>
      <x:c r="D21" s="41" t="str">
        <x:v>APN18</x:v>
      </x:c>
      <x:c r="E21" s="41" t="str">
        <x:v>Biceps Curl</x:v>
      </x:c>
      <x:c r="F21" s="41" t="str">
        <x:v>APN</x:v>
      </x:c>
      <x:c r="G21" s="41" t="str">
        <x:v>Pin Loaded</x:v>
      </x:c>
      <x:c r="H21" s="41" t="str">
        <x:v>Arms</x:v>
      </x:c>
      <x:c r="I21" s="42" t="n">
        <x:v>6140</x:v>
      </x:c>
      <x:c r="J21" s="41" t="str">
        <x:v>Premier: preserve area/movement and substitute by selected approved series.</x:v>
      </x:c>
      <x:c r="K21" s="41" t="str">
        <x:v>EagleFlow_Product_Bulk_Update (2).xlsx</x:v>
      </x:c>
    </x:row>
    <x:row r="22">
      <x:c r="A22" s="41" t="str">
        <x:v>Premier</x:v>
      </x:c>
      <x:c r="B22" s="41" t="str">
        <x:v>Arms</x:v>
      </x:c>
      <x:c r="C22" s="41" t="n">
        <x:v>2</x:v>
      </x:c>
      <x:c r="D22" s="41" t="str">
        <x:v>APN19</x:v>
      </x:c>
      <x:c r="E22" s="41" t="str">
        <x:v>Triceps Extension</x:v>
      </x:c>
      <x:c r="F22" s="41" t="str">
        <x:v>APN</x:v>
      </x:c>
      <x:c r="G22" s="41" t="str">
        <x:v>Pin Loaded</x:v>
      </x:c>
      <x:c r="H22" s="41" t="str">
        <x:v>Arms</x:v>
      </x:c>
      <x:c r="I22" s="42" t="n">
        <x:v>6140</x:v>
      </x:c>
      <x:c r="J22" s="41" t="str">
        <x:v>Premier: preserve area/movement and substitute by selected approved series.</x:v>
      </x:c>
      <x:c r="K22" s="41" t="str">
        <x:v>EagleFlow_Product_Bulk_Update (2).xlsx</x:v>
      </x:c>
    </x:row>
    <x:row r="23">
      <x:c r="A23" s="41" t="str">
        <x:v>Premier</x:v>
      </x:c>
      <x:c r="B23" s="41" t="str">
        <x:v>Arms</x:v>
      </x:c>
      <x:c r="C23" s="41" t="n">
        <x:v>3</x:v>
      </x:c>
      <x:c r="D23" s="41" t="str">
        <x:v>APN07</x:v>
      </x:c>
      <x:c r="E23" s="41" t="str">
        <x:v>Biceps / Triceps Curl</x:v>
      </x:c>
      <x:c r="F23" s="41" t="str">
        <x:v>APN</x:v>
      </x:c>
      <x:c r="G23" s="41" t="str">
        <x:v>Pin Loaded</x:v>
      </x:c>
      <x:c r="H23" s="41" t="str">
        <x:v>Arms</x:v>
      </x:c>
      <x:c r="I23" s="42" t="n">
        <x:v>6140</x:v>
      </x:c>
      <x:c r="J23" s="41" t="str">
        <x:v>Premier: preserve area/movement and substitute by selected approved series.</x:v>
      </x:c>
      <x:c r="K23" s="41" t="str">
        <x:v>EagleFlow_Product_Bulk_Update (2).xlsx</x:v>
      </x:c>
    </x:row>
    <x:row r="24">
      <x:c r="A24" s="41" t="str">
        <x:v>Premier</x:v>
      </x:c>
      <x:c r="B24" s="41" t="str">
        <x:v>Arms</x:v>
      </x:c>
      <x:c r="C24" s="41" t="n">
        <x:v>4</x:v>
      </x:c>
      <x:c r="D24" s="41" t="str">
        <x:v>APN27</x:v>
      </x:c>
      <x:c r="E24" s="41" t="str">
        <x:v>Triceps Dip</x:v>
      </x:c>
      <x:c r="F24" s="41" t="str">
        <x:v>APN</x:v>
      </x:c>
      <x:c r="G24" s="41" t="str">
        <x:v>Pin Loaded</x:v>
      </x:c>
      <x:c r="H24" s="41" t="str">
        <x:v>Arms</x:v>
      </x:c>
      <x:c r="I24" s="42" t="n">
        <x:v>6140</x:v>
      </x:c>
      <x:c r="J24" s="41" t="str">
        <x:v>Premier: preserve area/movement and substitute by selected approved series.</x:v>
      </x:c>
      <x:c r="K24" s="41" t="str">
        <x:v>EagleFlow_Product_Bulk_Update (2).xlsx</x:v>
      </x:c>
    </x:row>
    <x:row r="25">
      <x:c r="A25" s="41" t="str">
        <x:v>Premier</x:v>
      </x:c>
      <x:c r="B25" s="41" t="str">
        <x:v>Arms</x:v>
      </x:c>
      <x:c r="C25" s="41" t="n">
        <x:v>5</x:v>
      </x:c>
      <x:c r="D25" s="41" t="str">
        <x:v>APL12</x:v>
      </x:c>
      <x:c r="E25" s="41" t="str">
        <x:v>Tricep Dip</x:v>
      </x:c>
      <x:c r="F25" s="41" t="str">
        <x:v>APL</x:v>
      </x:c>
      <x:c r="G25" s="41" t="str">
        <x:v>Plate Loaded</x:v>
      </x:c>
      <x:c r="H25" s="41" t="str">
        <x:v>Arms</x:v>
      </x:c>
      <x:c r="I25" s="42" t="n">
        <x:v>4080</x:v>
      </x:c>
      <x:c r="J25" s="41" t="str">
        <x:v>Premier: preserve area/movement and substitute by selected approved series.</x:v>
      </x:c>
      <x:c r="K25" s="41" t="str">
        <x:v>EagleFlow_Product_Bulk_Update (2).xlsx</x:v>
      </x:c>
    </x:row>
    <x:row r="26">
      <x:c r="A26" s="41" t="str">
        <x:v>Premier</x:v>
      </x:c>
      <x:c r="B26" s="41" t="str">
        <x:v>Core / Abs</x:v>
      </x:c>
      <x:c r="C26" s="41" t="n">
        <x:v>1</x:v>
      </x:c>
      <x:c r="D26" s="41" t="str">
        <x:v>APN30</x:v>
      </x:c>
      <x:c r="E26" s="41" t="str">
        <x:v>Total Abdominal</x:v>
      </x:c>
      <x:c r="F26" s="41" t="str">
        <x:v>APN</x:v>
      </x:c>
      <x:c r="G26" s="41" t="str">
        <x:v>Pin Loaded</x:v>
      </x:c>
      <x:c r="H26" s="41" t="str">
        <x:v>Core / Abs</x:v>
      </x:c>
      <x:c r="I26" s="42" t="n">
        <x:v>6140</x:v>
      </x:c>
      <x:c r="J26" s="41" t="str">
        <x:v>Premier: preserve area/movement and substitute by selected approved series.</x:v>
      </x:c>
      <x:c r="K26" s="41" t="str">
        <x:v>EagleFlow_Product_Bulk_Update (2).xlsx</x:v>
      </x:c>
    </x:row>
    <x:row r="27">
      <x:c r="A27" s="41" t="str">
        <x:v>Premier</x:v>
      </x:c>
      <x:c r="B27" s="41" t="str">
        <x:v>Core / Abs</x:v>
      </x:c>
      <x:c r="C27" s="41" t="n">
        <x:v>2</x:v>
      </x:c>
      <x:c r="D27" s="41" t="str">
        <x:v>APN43</x:v>
      </x:c>
      <x:c r="E27" s="41" t="str">
        <x:v>Rotary Torso</x:v>
      </x:c>
      <x:c r="F27" s="41" t="str">
        <x:v>APN</x:v>
      </x:c>
      <x:c r="G27" s="41" t="str">
        <x:v>Pin Loaded</x:v>
      </x:c>
      <x:c r="H27" s="41" t="str">
        <x:v>Core / Abs</x:v>
      </x:c>
      <x:c r="I27" s="42" t="n">
        <x:v>6140</x:v>
      </x:c>
      <x:c r="J27" s="41" t="str">
        <x:v>Premier: preserve area/movement and substitute by selected approved series.</x:v>
      </x:c>
      <x:c r="K27" s="41" t="str">
        <x:v>EagleFlow_Product_Bulk_Update (2).xlsx</x:v>
      </x:c>
    </x:row>
    <x:row r="28">
      <x:c r="A28" s="41" t="str">
        <x:v>Premier</x:v>
      </x:c>
      <x:c r="B28" s="41" t="str">
        <x:v>Core / Abs</x:v>
      </x:c>
      <x:c r="C28" s="41" t="n">
        <x:v>3</x:v>
      </x:c>
      <x:c r="D28" s="41" t="str">
        <x:v>APL53</x:v>
      </x:c>
      <x:c r="E28" s="41" t="str">
        <x:v>Vertical Knee Raise</x:v>
      </x:c>
      <x:c r="F28" s="41" t="str">
        <x:v>APL</x:v>
      </x:c>
      <x:c r="G28" s="41" t="str">
        <x:v>Plate Loaded</x:v>
      </x:c>
      <x:c r="H28" s="41" t="str">
        <x:v>Core / Abs</x:v>
      </x:c>
      <x:c r="I28" s="42" t="n">
        <x:v>1710</x:v>
      </x:c>
      <x:c r="J28" s="41" t="str">
        <x:v>Premier: preserve area/movement and substitute by selected approved series.</x:v>
      </x:c>
      <x:c r="K28" s="41" t="str">
        <x:v>EagleFlow_Product_Bulk_Update (2).xlsx</x:v>
      </x:c>
    </x:row>
    <x:row r="29">
      <x:c r="A29" s="41" t="str">
        <x:v>Premier</x:v>
      </x:c>
      <x:c r="B29" s="41" t="str">
        <x:v>Core / Abs</x:v>
      </x:c>
      <x:c r="C29" s="41" t="n">
        <x:v>4</x:v>
      </x:c>
      <x:c r="D29" s="41" t="str">
        <x:v>APL52</x:v>
      </x:c>
      <x:c r="E29" s="41" t="str">
        <x:v>Adjustable Web Board (Abdominal)</x:v>
      </x:c>
      <x:c r="F29" s="41" t="str">
        <x:v>APL</x:v>
      </x:c>
      <x:c r="G29" s="41" t="str">
        <x:v>Plate Loaded</x:v>
      </x:c>
      <x:c r="H29" s="41" t="str">
        <x:v>Core / Abs</x:v>
      </x:c>
      <x:c r="I29" s="42" t="n">
        <x:v>2020</x:v>
      </x:c>
      <x:c r="J29" s="41" t="str">
        <x:v>Premier: preserve area/movement and substitute by selected approved series.</x:v>
      </x:c>
      <x:c r="K29" s="41" t="str">
        <x:v>EagleFlow_Product_Bulk_Update (2).xlsx</x:v>
      </x:c>
    </x:row>
    <x:row r="30">
      <x:c r="A30" s="41" t="str">
        <x:v>Premier</x:v>
      </x:c>
      <x:c r="B30" s="41" t="str">
        <x:v>Legs</x:v>
      </x:c>
      <x:c r="C30" s="41" t="n">
        <x:v>1</x:v>
      </x:c>
      <x:c r="D30" s="41" t="str">
        <x:v>APN08</x:v>
      </x:c>
      <x:c r="E30" s="41" t="str">
        <x:v>Leg Press/Calf</x:v>
      </x:c>
      <x:c r="F30" s="41" t="str">
        <x:v>APN</x:v>
      </x:c>
      <x:c r="G30" s="41" t="str">
        <x:v>Pin Loaded</x:v>
      </x:c>
      <x:c r="H30" s="41" t="str">
        <x:v>Legs</x:v>
      </x:c>
      <x:c r="I30" s="42" t="n">
        <x:v>6470</x:v>
      </x:c>
      <x:c r="J30" s="41" t="str">
        <x:v>Premier: preserve area/movement and substitute by selected approved series.</x:v>
      </x:c>
      <x:c r="K30" s="41" t="str">
        <x:v>EagleFlow_Product_Bulk_Update (2).xlsx</x:v>
      </x:c>
    </x:row>
    <x:row r="31">
      <x:c r="A31" s="41" t="str">
        <x:v>Premier</x:v>
      </x:c>
      <x:c r="B31" s="41" t="str">
        <x:v>Legs</x:v>
      </x:c>
      <x:c r="C31" s="41" t="n">
        <x:v>2</x:v>
      </x:c>
      <x:c r="D31" s="41" t="str">
        <x:v>APN20</x:v>
      </x:c>
      <x:c r="E31" s="41" t="str">
        <x:v>Leg Extension</x:v>
      </x:c>
      <x:c r="F31" s="41" t="str">
        <x:v>APN</x:v>
      </x:c>
      <x:c r="G31" s="41" t="str">
        <x:v>Pin Loaded</x:v>
      </x:c>
      <x:c r="H31" s="41" t="str">
        <x:v>Legs</x:v>
      </x:c>
      <x:c r="I31" s="42" t="n">
        <x:v>6140</x:v>
      </x:c>
      <x:c r="J31" s="41" t="str">
        <x:v>Premier: preserve area/movement and substitute by selected approved series.</x:v>
      </x:c>
      <x:c r="K31" s="41" t="str">
        <x:v>EagleFlow_Product_Bulk_Update (2).xlsx</x:v>
      </x:c>
    </x:row>
    <x:row r="32">
      <x:c r="A32" s="41" t="str">
        <x:v>Premier</x:v>
      </x:c>
      <x:c r="B32" s="41" t="str">
        <x:v>Legs</x:v>
      </x:c>
      <x:c r="C32" s="41" t="n">
        <x:v>3</x:v>
      </x:c>
      <x:c r="D32" s="41" t="str">
        <x:v>APN21</x:v>
      </x:c>
      <x:c r="E32" s="41" t="str">
        <x:v>Prone Leg Curl</x:v>
      </x:c>
      <x:c r="F32" s="41" t="str">
        <x:v>APN</x:v>
      </x:c>
      <x:c r="G32" s="41" t="str">
        <x:v>Pin Loaded</x:v>
      </x:c>
      <x:c r="H32" s="41" t="str">
        <x:v>Legs</x:v>
      </x:c>
      <x:c r="I32" s="42" t="n">
        <x:v>6140</x:v>
      </x:c>
      <x:c r="J32" s="41" t="str">
        <x:v>Premier: preserve area/movement and substitute by selected approved series.</x:v>
      </x:c>
      <x:c r="K32" s="41" t="str">
        <x:v>EagleFlow_Product_Bulk_Update (2).xlsx</x:v>
      </x:c>
    </x:row>
    <x:row r="33">
      <x:c r="A33" s="41" t="str">
        <x:v>Premier</x:v>
      </x:c>
      <x:c r="B33" s="41" t="str">
        <x:v>Legs</x:v>
      </x:c>
      <x:c r="C33" s="41" t="n">
        <x:v>4</x:v>
      </x:c>
      <x:c r="D33" s="41" t="str">
        <x:v>APL43</x:v>
      </x:c>
      <x:c r="E33" s="41" t="str">
        <x:v>Hack Squat</x:v>
      </x:c>
      <x:c r="F33" s="41" t="str">
        <x:v>APL</x:v>
      </x:c>
      <x:c r="G33" s="41" t="str">
        <x:v>Plate Loaded</x:v>
      </x:c>
      <x:c r="H33" s="41" t="str">
        <x:v>Legs</x:v>
      </x:c>
      <x:c r="I33" s="42" t="n">
        <x:v>6410</x:v>
      </x:c>
      <x:c r="J33" s="41" t="str">
        <x:v>Premier: preserve area/movement and substitute by selected approved series.</x:v>
      </x:c>
      <x:c r="K33" s="41" t="str">
        <x:v>EagleFlow_Product_Bulk_Update (2).xlsx</x:v>
      </x:c>
    </x:row>
    <x:row r="34">
      <x:c r="A34" s="41" t="str">
        <x:v>Premier</x:v>
      </x:c>
      <x:c r="B34" s="41" t="str">
        <x:v>Legs</x:v>
      </x:c>
      <x:c r="C34" s="41" t="n">
        <x:v>5</x:v>
      </x:c>
      <x:c r="D34" s="41" t="str">
        <x:v>APL54</x:v>
      </x:c>
      <x:c r="E34" s="41" t="str">
        <x:v>Seated Calf Raise</x:v>
      </x:c>
      <x:c r="F34" s="41" t="str">
        <x:v>APL</x:v>
      </x:c>
      <x:c r="G34" s="41" t="str">
        <x:v>Plate Loaded</x:v>
      </x:c>
      <x:c r="H34" s="41" t="str">
        <x:v>Legs</x:v>
      </x:c>
      <x:c r="I34" s="42" t="n">
        <x:v>2140</x:v>
      </x:c>
      <x:c r="J34" s="41" t="str">
        <x:v>Premier: preserve area/movement and substitute by selected approved series.</x:v>
      </x:c>
      <x:c r="K34" s="41" t="str">
        <x:v>EagleFlow_Product_Bulk_Update (2).xlsx</x:v>
      </x:c>
    </x:row>
    <x:row r="35">
      <x:c r="A35" s="41" t="str">
        <x:v>Premier</x:v>
      </x:c>
      <x:c r="B35" s="41" t="str">
        <x:v>Legs</x:v>
      </x:c>
      <x:c r="C35" s="41" t="n">
        <x:v>6</x:v>
      </x:c>
      <x:c r="D35" s="41" t="str">
        <x:v>APL24</x:v>
      </x:c>
      <x:c r="E35" s="41" t="str">
        <x:v>Belt Squat Machine</x:v>
      </x:c>
      <x:c r="F35" s="41" t="str">
        <x:v>APL</x:v>
      </x:c>
      <x:c r="G35" s="41" t="str">
        <x:v>Plate Loaded</x:v>
      </x:c>
      <x:c r="H35" s="41" t="str">
        <x:v>Legs</x:v>
      </x:c>
      <x:c r="I35" s="42" t="n">
        <x:v>4770</x:v>
      </x:c>
      <x:c r="J35" s="41" t="str">
        <x:v>Premier: preserve area/movement and substitute by selected approved series.</x:v>
      </x:c>
      <x:c r="K35" s="41" t="str">
        <x:v>EagleFlow_Product_Bulk_Update (2).xlsx</x:v>
      </x:c>
    </x:row>
    <x:row r="36">
      <x:c r="A36" s="41" t="str">
        <x:v>Premier</x:v>
      </x:c>
      <x:c r="B36" s="41" t="str">
        <x:v>Legs</x:v>
      </x:c>
      <x:c r="C36" s="41" t="n">
        <x:v>7</x:v>
      </x:c>
      <x:c r="D36" s="41" t="str">
        <x:v>APL25</x:v>
      </x:c>
      <x:c r="E36" s="41" t="str">
        <x:v>Pendulum-Squat</x:v>
      </x:c>
      <x:c r="F36" s="41" t="str">
        <x:v>APL</x:v>
      </x:c>
      <x:c r="G36" s="41" t="str">
        <x:v>Plate Loaded</x:v>
      </x:c>
      <x:c r="H36" s="41" t="str">
        <x:v>Legs</x:v>
      </x:c>
      <x:c r="I36" s="42" t="n">
        <x:v>4660</x:v>
      </x:c>
      <x:c r="J36" s="41" t="str">
        <x:v>Premier: preserve area/movement and substitute by selected approved series.</x:v>
      </x:c>
      <x:c r="K36" s="41" t="str">
        <x:v>EagleFlow_Product_Bulk_Update (2).xlsx</x:v>
      </x:c>
    </x:row>
    <x:row r="37">
      <x:c r="A37" s="41" t="str">
        <x:v>Premier</x:v>
      </x:c>
      <x:c r="B37" s="41" t="str">
        <x:v>Glutes</x:v>
      </x:c>
      <x:c r="C37" s="41" t="n">
        <x:v>1</x:v>
      </x:c>
      <x:c r="D37" s="41" t="str">
        <x:v>APN01</x:v>
      </x:c>
      <x:c r="E37" s="41" t="str">
        <x:v>Adductor / Abductor</x:v>
      </x:c>
      <x:c r="F37" s="41" t="str">
        <x:v>APN</x:v>
      </x:c>
      <x:c r="G37" s="41" t="str">
        <x:v>Pin Loaded</x:v>
      </x:c>
      <x:c r="H37" s="41" t="str">
        <x:v>Glutes</x:v>
      </x:c>
      <x:c r="I37" s="42" t="n">
        <x:v>6140</x:v>
      </x:c>
      <x:c r="J37" s="41" t="str">
        <x:v>Premier: preserve area/movement and substitute by selected approved series.</x:v>
      </x:c>
      <x:c r="K37" s="41" t="str">
        <x:v>EagleFlow_Product_Bulk_Update (2).xlsx</x:v>
      </x:c>
    </x:row>
    <x:row r="38">
      <x:c r="A38" s="41" t="str">
        <x:v>Premier</x:v>
      </x:c>
      <x:c r="B38" s="41" t="str">
        <x:v>Glutes</x:v>
      </x:c>
      <x:c r="C38" s="41" t="n">
        <x:v>2</x:v>
      </x:c>
      <x:c r="D38" s="41" t="str">
        <x:v>APN31</x:v>
      </x:c>
      <x:c r="E38" s="41" t="str">
        <x:v>Ultimate Pin Loaded Hip Thrust</x:v>
      </x:c>
      <x:c r="F38" s="41" t="str">
        <x:v>APN</x:v>
      </x:c>
      <x:c r="G38" s="41" t="str">
        <x:v>Pin Loaded</x:v>
      </x:c>
      <x:c r="H38" s="41" t="str">
        <x:v>Glutes</x:v>
      </x:c>
      <x:c r="I38" s="42" t="n">
        <x:v>6840</x:v>
      </x:c>
      <x:c r="J38" s="41" t="str">
        <x:v>Premier: preserve area/movement and substitute by selected approved series.</x:v>
      </x:c>
      <x:c r="K38" s="41" t="str">
        <x:v>EagleFlow_Product_Bulk_Update (2).xlsx</x:v>
      </x:c>
    </x:row>
    <x:row r="39">
      <x:c r="A39" s="41" t="str">
        <x:v>Premier</x:v>
      </x:c>
      <x:c r="B39" s="41" t="str">
        <x:v>Glutes</x:v>
      </x:c>
      <x:c r="C39" s="41" t="n">
        <x:v>3</x:v>
      </x:c>
      <x:c r="D39" s="41" t="str">
        <x:v>APN34</x:v>
      </x:c>
      <x:c r="E39" s="41" t="str">
        <x:v>Ultimate Cable Kick Back</x:v>
      </x:c>
      <x:c r="F39" s="41" t="str">
        <x:v>APN</x:v>
      </x:c>
      <x:c r="G39" s="41" t="str">
        <x:v>Pin Loaded</x:v>
      </x:c>
      <x:c r="H39" s="41" t="str">
        <x:v>Glutes</x:v>
      </x:c>
      <x:c r="I39" s="42" t="n">
        <x:v>6140</x:v>
      </x:c>
      <x:c r="J39" s="41" t="str">
        <x:v>Premier: preserve area/movement and substitute by selected approved series.</x:v>
      </x:c>
      <x:c r="K39" s="41" t="str">
        <x:v>EagleFlow_Product_Bulk_Update (2).xlsx</x:v>
      </x:c>
    </x:row>
    <x:row r="40">
      <x:c r="A40" s="41" t="str">
        <x:v>Premier</x:v>
      </x:c>
      <x:c r="B40" s="41" t="str">
        <x:v>Glutes</x:v>
      </x:c>
      <x:c r="C40" s="41" t="n">
        <x:v>4</x:v>
      </x:c>
      <x:c r="D40" s="41" t="str">
        <x:v>APL30</x:v>
      </x:c>
      <x:c r="E40" s="41" t="str">
        <x:v>Hip Glute Press</x:v>
      </x:c>
      <x:c r="F40" s="41" t="str">
        <x:v>APL</x:v>
      </x:c>
      <x:c r="G40" s="41" t="str">
        <x:v>Plate Loaded</x:v>
      </x:c>
      <x:c r="H40" s="41" t="str">
        <x:v>Glutes</x:v>
      </x:c>
      <x:c r="I40" s="42" t="n">
        <x:v>6990</x:v>
      </x:c>
      <x:c r="J40" s="41" t="str">
        <x:v>Premier: preserve area/movement and substitute by selected approved series.</x:v>
      </x:c>
      <x:c r="K40" s="41" t="str">
        <x:v>EagleFlow_Product_Bulk_Update (2).xlsx</x:v>
      </x:c>
    </x:row>
    <x:row r="41">
      <x:c r="A41" s="41" t="str">
        <x:v>Burnsport</x:v>
      </x:c>
      <x:c r="B41" s="41" t="str">
        <x:v>Chest</x:v>
      </x:c>
      <x:c r="C41" s="41" t="n">
        <x:v>1</x:v>
      </x:c>
      <x:c r="D41" s="41" t="str">
        <x:v>PRM-1005G</x:v>
      </x:c>
      <x:c r="E41" s="41" t="str">
        <x:v>Chest Press (PRM-1005G)</x:v>
      </x:c>
      <x:c r="F41" s="41" t="str">
        <x:v>PRM</x:v>
      </x:c>
      <x:c r="G41" s="41" t="str">
        <x:v>Pin Loaded</x:v>
      </x:c>
      <x:c r="H41" s="41" t="str">
        <x:v>Chest</x:v>
      </x:c>
      <x:c r="I41" s="42" t="n">
        <x:v>11776</x:v>
      </x:c>
      <x:c r="J41" s="41" t="str">
        <x:v>Use in priority order; skip duplicate movement filler.</x:v>
      </x:c>
      <x:c r="K41" s="41" t="str">
        <x:v>EagleFlow_Product_Bulk_Update (2).xlsx</x:v>
      </x:c>
    </x:row>
    <x:row r="42">
      <x:c r="A42" s="41" t="str">
        <x:v>Burnsport</x:v>
      </x:c>
      <x:c r="B42" s="41" t="str">
        <x:v>Chest</x:v>
      </x:c>
      <x:c r="C42" s="41" t="n">
        <x:v>2</x:v>
      </x:c>
      <x:c r="D42" s="41" t="str">
        <x:v>PRM-1002</x:v>
      </x:c>
      <x:c r="E42" s="41" t="str">
        <x:v>Incline Press Press Plate</x:v>
      </x:c>
      <x:c r="F42" s="41" t="str">
        <x:v>PRM</x:v>
      </x:c>
      <x:c r="G42" s="41" t="str">
        <x:v>Plate Loaded</x:v>
      </x:c>
      <x:c r="H42" s="41" t="str">
        <x:v>Chest</x:v>
      </x:c>
      <x:c r="I42" s="42" t="n">
        <x:v>11776</x:v>
      </x:c>
      <x:c r="J42" s="41" t="str">
        <x:v>Use in priority order; skip duplicate movement filler.</x:v>
      </x:c>
      <x:c r="K42" s="41" t="str">
        <x:v>EagleFlow_Product_Bulk_Update (2).xlsx</x:v>
      </x:c>
    </x:row>
    <x:row r="43">
      <x:c r="A43" s="41" t="str">
        <x:v>Burnsport</x:v>
      </x:c>
      <x:c r="B43" s="41" t="str">
        <x:v>Chest</x:v>
      </x:c>
      <x:c r="C43" s="41" t="n">
        <x:v>3</x:v>
      </x:c>
      <x:c r="D43" s="41" t="str">
        <x:v>HM-3015</x:v>
      </x:c>
      <x:c r="E43" s="41" t="str">
        <x:v>Pectoral Fly</x:v>
      </x:c>
      <x:c r="F43" s="41" t="str">
        <x:v>HM</x:v>
      </x:c>
      <x:c r="G43" s="41" t="str">
        <x:v>Pin Loaded</x:v>
      </x:c>
      <x:c r="H43" s="41" t="str">
        <x:v>Chest</x:v>
      </x:c>
      <x:c r="I43" s="42" t="n">
        <x:v>14536</x:v>
      </x:c>
      <x:c r="J43" s="41" t="str">
        <x:v>Use in priority order; skip duplicate movement filler.</x:v>
      </x:c>
      <x:c r="K43" s="41" t="str">
        <x:v>EagleFlow_Product_Bulk_Update (2).xlsx</x:v>
      </x:c>
    </x:row>
    <x:row r="44">
      <x:c r="A44" s="41" t="str">
        <x:v>Burnsport</x:v>
      </x:c>
      <x:c r="B44" s="41" t="str">
        <x:v>Chest</x:v>
      </x:c>
      <x:c r="C44" s="41" t="n">
        <x:v>4</x:v>
      </x:c>
      <x:c r="D44" s="41" t="str">
        <x:v>RS-3003</x:v>
      </x:c>
      <x:c r="E44" s="41" t="str">
        <x:v>Iso-lateral Decline Chest Press (RS-3003)</x:v>
      </x:c>
      <x:c r="F44" s="41" t="str">
        <x:v>RS</x:v>
      </x:c>
      <x:c r="G44" s="41" t="str">
        <x:v>Plate Loaded</x:v>
      </x:c>
      <x:c r="H44" s="41" t="str">
        <x:v>Chest</x:v>
      </x:c>
      <x:c r="I44" s="42" t="n">
        <x:v>11776</x:v>
      </x:c>
      <x:c r="J44" s="41" t="str">
        <x:v>Use in priority order; skip duplicate movement filler.</x:v>
      </x:c>
      <x:c r="K44" s="41" t="str">
        <x:v>EagleFlow_Product_Bulk_Update (2).xlsx</x:v>
      </x:c>
    </x:row>
    <x:row r="45">
      <x:c r="A45" s="41" t="str">
        <x:v>Burnsport</x:v>
      </x:c>
      <x:c r="B45" s="41" t="str">
        <x:v>Chest</x:v>
      </x:c>
      <x:c r="C45" s="41" t="n">
        <x:v>5</x:v>
      </x:c>
      <x:c r="D45" s="41" t="str">
        <x:v>HM-1008</x:v>
      </x:c>
      <x:c r="E45" s="41" t="str">
        <x:v>Iso-lateral Wide Chest</x:v>
      </x:c>
      <x:c r="F45" s="41" t="str">
        <x:v>HM</x:v>
      </x:c>
      <x:c r="G45" s="41" t="str">
        <x:v>Plate Loaded</x:v>
      </x:c>
      <x:c r="H45" s="41" t="str">
        <x:v>Chest</x:v>
      </x:c>
      <x:c r="I45" s="42" t="n">
        <x:v>11776</x:v>
      </x:c>
      <x:c r="J45" s="41" t="str">
        <x:v>Use in priority order; skip duplicate movement filler.</x:v>
      </x:c>
      <x:c r="K45" s="41" t="str">
        <x:v>EagleFlow_Product_Bulk_Update (2).xlsx</x:v>
      </x:c>
    </x:row>
    <x:row r="46">
      <x:c r="A46" s="41" t="str">
        <x:v>Burnsport</x:v>
      </x:c>
      <x:c r="B46" s="41" t="str">
        <x:v>Shoulder</x:v>
      </x:c>
      <x:c r="C46" s="41" t="n">
        <x:v>1</x:v>
      </x:c>
      <x:c r="D46" s="41" t="str">
        <x:v>PRM-1004G</x:v>
      </x:c>
      <x:c r="E46" s="41" t="str">
        <x:v>Shoulder Press (PRM-1004G)</x:v>
      </x:c>
      <x:c r="F46" s="41" t="str">
        <x:v>PRM</x:v>
      </x:c>
      <x:c r="G46" s="41" t="str">
        <x:v>Pin Loaded</x:v>
      </x:c>
      <x:c r="H46" s="41" t="str">
        <x:v>Shoulder</x:v>
      </x:c>
      <x:c r="I46" s="42" t="n">
        <x:v>11776</x:v>
      </x:c>
      <x:c r="J46" s="41" t="str">
        <x:v>Use in priority order; skip duplicate movement filler.</x:v>
      </x:c>
      <x:c r="K46" s="41" t="str">
        <x:v>EagleFlow_Product_Bulk_Update (2).xlsx</x:v>
      </x:c>
    </x:row>
    <x:row r="47">
      <x:c r="A47" s="41" t="str">
        <x:v>Burnsport</x:v>
      </x:c>
      <x:c r="B47" s="41" t="str">
        <x:v>Shoulder</x:v>
      </x:c>
      <x:c r="C47" s="41" t="n">
        <x:v>2</x:v>
      </x:c>
      <x:c r="D47" s="41" t="str">
        <x:v>HM-3014</x:v>
      </x:c>
      <x:c r="E47" s="41" t="str">
        <x:v>Seated Lateral Raise</x:v>
      </x:c>
      <x:c r="F47" s="41" t="str">
        <x:v>HM</x:v>
      </x:c>
      <x:c r="G47" s="41" t="str">
        <x:v>Pin Loaded</x:v>
      </x:c>
      <x:c r="H47" s="41" t="str">
        <x:v>Shoulder</x:v>
      </x:c>
      <x:c r="I47" s="42" t="n">
        <x:v>14536</x:v>
      </x:c>
      <x:c r="J47" s="41" t="str">
        <x:v>Use in priority order; skip duplicate movement filler.</x:v>
      </x:c>
      <x:c r="K47" s="41" t="str">
        <x:v>EagleFlow_Product_Bulk_Update (2).xlsx</x:v>
      </x:c>
    </x:row>
    <x:row r="48">
      <x:c r="A48" s="41" t="str">
        <x:v>Burnsport</x:v>
      </x:c>
      <x:c r="B48" s="41" t="str">
        <x:v>Shoulder</x:v>
      </x:c>
      <x:c r="C48" s="41" t="n">
        <x:v>3</x:v>
      </x:c>
      <x:c r="D48" s="41" t="str">
        <x:v>HM-1020</x:v>
      </x:c>
      <x:c r="E48" s="41" t="str">
        <x:v>Iso-lateral Shoulder Press</x:v>
      </x:c>
      <x:c r="F48" s="41" t="str">
        <x:v>HM</x:v>
      </x:c>
      <x:c r="G48" s="41" t="str">
        <x:v>Plate Loaded</x:v>
      </x:c>
      <x:c r="H48" s="41" t="str">
        <x:v>Shoulder</x:v>
      </x:c>
      <x:c r="I48" s="42" t="n">
        <x:v>10856</x:v>
      </x:c>
      <x:c r="J48" s="41" t="str">
        <x:v>Use in priority order; skip duplicate movement filler.</x:v>
      </x:c>
      <x:c r="K48" s="41" t="str">
        <x:v>EagleFlow_Product_Bulk_Update (2).xlsx</x:v>
      </x:c>
    </x:row>
    <x:row r="49">
      <x:c r="A49" s="41" t="str">
        <x:v>Burnsport</x:v>
      </x:c>
      <x:c r="B49" s="41" t="str">
        <x:v>Shoulder</x:v>
      </x:c>
      <x:c r="C49" s="41" t="n">
        <x:v>4</x:v>
      </x:c>
      <x:c r="D49" s="41" t="str">
        <x:v>RS-3027</x:v>
      </x:c>
      <x:c r="E49" s="41" t="str">
        <x:v>Seated Shoulder Press</x:v>
      </x:c>
      <x:c r="F49" s="41" t="str">
        <x:v>RS</x:v>
      </x:c>
      <x:c r="G49" s="41" t="str">
        <x:v>Plate Loaded</x:v>
      </x:c>
      <x:c r="H49" s="41" t="str">
        <x:v>Shoulder</x:v>
      </x:c>
      <x:c r="I49" s="42" t="n">
        <x:v>11776</x:v>
      </x:c>
      <x:c r="J49" s="41" t="str">
        <x:v>Use in priority order; skip duplicate movement filler.</x:v>
      </x:c>
      <x:c r="K49" s="41" t="str">
        <x:v>EagleFlow_Product_Bulk_Update (2).xlsx</x:v>
      </x:c>
    </x:row>
    <x:row r="50">
      <x:c r="A50" s="41" t="str">
        <x:v>Burnsport</x:v>
      </x:c>
      <x:c r="B50" s="41" t="str">
        <x:v>Back</x:v>
      </x:c>
      <x:c r="C50" s="41" t="n">
        <x:v>1</x:v>
      </x:c>
      <x:c r="D50" s="41" t="str">
        <x:v>PRM-1007G</x:v>
      </x:c>
      <x:c r="E50" s="41" t="str">
        <x:v>Lat Pulldown (PRM-1007G)</x:v>
      </x:c>
      <x:c r="F50" s="41" t="str">
        <x:v>PRM</x:v>
      </x:c>
      <x:c r="G50" s="41" t="str">
        <x:v>Pin Loaded</x:v>
      </x:c>
      <x:c r="H50" s="41" t="str">
        <x:v>Back</x:v>
      </x:c>
      <x:c r="I50" s="42" t="n">
        <x:v>11776</x:v>
      </x:c>
      <x:c r="J50" s="41" t="str">
        <x:v>Use in priority order; skip duplicate movement filler.</x:v>
      </x:c>
      <x:c r="K50" s="41" t="str">
        <x:v>EagleFlow_Product_Bulk_Update (2).xlsx</x:v>
      </x:c>
    </x:row>
    <x:row r="51">
      <x:c r="A51" s="41" t="str">
        <x:v>Burnsport</x:v>
      </x:c>
      <x:c r="B51" s="41" t="str">
        <x:v>Back</x:v>
      </x:c>
      <x:c r="C51" s="41" t="n">
        <x:v>2</x:v>
      </x:c>
      <x:c r="D51" s="41" t="str">
        <x:v>PRM-1008G</x:v>
      </x:c>
      <x:c r="E51" s="41" t="str">
        <x:v>Seated Row</x:v>
      </x:c>
      <x:c r="F51" s="41" t="str">
        <x:v>PRM</x:v>
      </x:c>
      <x:c r="G51" s="41" t="str">
        <x:v>Pin Loaded</x:v>
      </x:c>
      <x:c r="H51" s="41" t="str">
        <x:v>Back</x:v>
      </x:c>
      <x:c r="I51" s="42" t="n">
        <x:v>10672</x:v>
      </x:c>
      <x:c r="J51" s="41" t="str">
        <x:v>Use in priority order; skip duplicate movement filler.</x:v>
      </x:c>
      <x:c r="K51" s="41" t="str">
        <x:v>EagleFlow_Product_Bulk_Update (2).xlsx</x:v>
      </x:c>
    </x:row>
    <x:row r="52">
      <x:c r="A52" s="41" t="str">
        <x:v>Burnsport</x:v>
      </x:c>
      <x:c r="B52" s="41" t="str">
        <x:v>Back</x:v>
      </x:c>
      <x:c r="C52" s="41" t="n">
        <x:v>3</x:v>
      </x:c>
      <x:c r="D52" s="41" t="str">
        <x:v>HM-1014</x:v>
      </x:c>
      <x:c r="E52" s="41" t="str">
        <x:v>Iso-lateral Low Row</x:v>
      </x:c>
      <x:c r="F52" s="41" t="str">
        <x:v>HM</x:v>
      </x:c>
      <x:c r="G52" s="41" t="str">
        <x:v>Plate Loaded</x:v>
      </x:c>
      <x:c r="H52" s="41" t="str">
        <x:v>Back</x:v>
      </x:c>
      <x:c r="I52" s="42" t="n">
        <x:v>10856</x:v>
      </x:c>
      <x:c r="J52" s="41" t="str">
        <x:v>Use in priority order; skip duplicate movement filler.</x:v>
      </x:c>
      <x:c r="K52" s="41" t="str">
        <x:v>EagleFlow_Product_Bulk_Update (2).xlsx</x:v>
      </x:c>
    </x:row>
    <x:row r="53">
      <x:c r="A53" s="41" t="str">
        <x:v>Burnsport</x:v>
      </x:c>
      <x:c r="B53" s="41" t="str">
        <x:v>Back</x:v>
      </x:c>
      <x:c r="C53" s="41" t="n">
        <x:v>4</x:v>
      </x:c>
      <x:c r="D53" s="41" t="str">
        <x:v>HM-1018</x:v>
      </x:c>
      <x:c r="E53" s="41" t="str">
        <x:v>Iso-lateral High Row</x:v>
      </x:c>
      <x:c r="F53" s="41" t="str">
        <x:v>HM</x:v>
      </x:c>
      <x:c r="G53" s="41" t="str">
        <x:v>Plate Loaded</x:v>
      </x:c>
      <x:c r="H53" s="41" t="str">
        <x:v>Back</x:v>
      </x:c>
      <x:c r="I53" s="42" t="n">
        <x:v>10856</x:v>
      </x:c>
      <x:c r="J53" s="41" t="str">
        <x:v>Use in priority order; skip duplicate movement filler.</x:v>
      </x:c>
      <x:c r="K53" s="41" t="str">
        <x:v>EagleFlow_Product_Bulk_Update (2).xlsx</x:v>
      </x:c>
    </x:row>
    <x:row r="54">
      <x:c r="A54" s="41" t="str">
        <x:v>Burnsport</x:v>
      </x:c>
      <x:c r="B54" s="41" t="str">
        <x:v>Back</x:v>
      </x:c>
      <x:c r="C54" s="41" t="n">
        <x:v>5</x:v>
      </x:c>
      <x:c r="D54" s="41" t="str">
        <x:v>HM-1017</x:v>
      </x:c>
      <x:c r="E54" s="41" t="str">
        <x:v>Pullover</x:v>
      </x:c>
      <x:c r="F54" s="41" t="str">
        <x:v>HM</x:v>
      </x:c>
      <x:c r="G54" s="41" t="str">
        <x:v>Plate Loaded</x:v>
      </x:c>
      <x:c r="H54" s="41" t="str">
        <x:v>Back</x:v>
      </x:c>
      <x:c r="I54" s="42" t="n">
        <x:v>11776</x:v>
      </x:c>
      <x:c r="J54" s="41" t="str">
        <x:v>Use in priority order; skip duplicate movement filler.</x:v>
      </x:c>
      <x:c r="K54" s="41" t="str">
        <x:v>EagleFlow_Product_Bulk_Update (2).xlsx</x:v>
      </x:c>
    </x:row>
    <x:row r="55">
      <x:c r="A55" s="41" t="str">
        <x:v>Burnsport</x:v>
      </x:c>
      <x:c r="B55" s="41" t="str">
        <x:v>Back</x:v>
      </x:c>
      <x:c r="C55" s="41" t="n">
        <x:v>6</x:v>
      </x:c>
      <x:c r="D55" s="41" t="str">
        <x:v>HM-3022</x:v>
      </x:c>
      <x:c r="E55" s="41" t="str">
        <x:v>Back Extension</x:v>
      </x:c>
      <x:c r="F55" s="41" t="str">
        <x:v>HM</x:v>
      </x:c>
      <x:c r="G55" s="41" t="str">
        <x:v>Pin Loaded</x:v>
      </x:c>
      <x:c r="H55" s="41" t="str">
        <x:v>Back</x:v>
      </x:c>
      <x:c r="I55" s="42" t="n">
        <x:v>13156</x:v>
      </x:c>
      <x:c r="J55" s="41" t="str">
        <x:v>Use in priority order; skip duplicate movement filler.</x:v>
      </x:c>
      <x:c r="K55" s="41" t="str">
        <x:v>EagleFlow_Product_Bulk_Update (2).xlsx</x:v>
      </x:c>
    </x:row>
    <x:row r="56">
      <x:c r="A56" s="41" t="str">
        <x:v>Burnsport</x:v>
      </x:c>
      <x:c r="B56" s="41" t="str">
        <x:v>Back</x:v>
      </x:c>
      <x:c r="C56" s="41" t="n">
        <x:v>7</x:v>
      </x:c>
      <x:c r="D56" s="41" t="str">
        <x:v>HM-1021</x:v>
      </x:c>
      <x:c r="E56" s="41" t="str">
        <x:v>T-Bar Row</x:v>
      </x:c>
      <x:c r="F56" s="41" t="str">
        <x:v>HM</x:v>
      </x:c>
      <x:c r="G56" s="41" t="str">
        <x:v>Plate Loaded</x:v>
      </x:c>
      <x:c r="H56" s="41" t="str">
        <x:v>Back</x:v>
      </x:c>
      <x:c r="I56" s="42" t="n">
        <x:v>7580.8</x:v>
      </x:c>
      <x:c r="J56" s="41" t="str">
        <x:v>Use in priority order; skip duplicate movement filler.</x:v>
      </x:c>
      <x:c r="K56" s="41" t="str">
        <x:v>EagleFlow_Product_Bulk_Update (2).xlsx</x:v>
      </x:c>
    </x:row>
    <x:row r="57">
      <x:c r="A57" s="41" t="str">
        <x:v>Burnsport</x:v>
      </x:c>
      <x:c r="B57" s="41" t="str">
        <x:v>Back</x:v>
      </x:c>
      <x:c r="C57" s="41" t="n">
        <x:v>8</x:v>
      </x:c>
      <x:c r="D57" s="41" t="str">
        <x:v>RS-3018</x:v>
      </x:c>
      <x:c r="E57" s="41" t="str">
        <x:v>Iso-lateral High Row (RS-3018)</x:v>
      </x:c>
      <x:c r="F57" s="41" t="str">
        <x:v>RS</x:v>
      </x:c>
      <x:c r="G57" s="41" t="str">
        <x:v>Plate Loaded</x:v>
      </x:c>
      <x:c r="H57" s="41" t="str">
        <x:v>Back</x:v>
      </x:c>
      <x:c r="I57" s="42" t="n">
        <x:v>11776</x:v>
      </x:c>
      <x:c r="J57" s="41" t="str">
        <x:v>Use in priority order; skip duplicate movement filler.</x:v>
      </x:c>
      <x:c r="K57" s="41" t="str">
        <x:v>EagleFlow_Product_Bulk_Update (2).xlsx</x:v>
      </x:c>
    </x:row>
    <x:row r="58">
      <x:c r="A58" s="41" t="str">
        <x:v>Burnsport</x:v>
      </x:c>
      <x:c r="B58" s="41" t="str">
        <x:v>Arms</x:v>
      </x:c>
      <x:c r="C58" s="41" t="n">
        <x:v>1</x:v>
      </x:c>
      <x:c r="D58" s="41" t="str">
        <x:v>PRM-1009G</x:v>
      </x:c>
      <x:c r="E58" s="41" t="str">
        <x:v>Arm Curl</x:v>
      </x:c>
      <x:c r="F58" s="41" t="str">
        <x:v>PRM</x:v>
      </x:c>
      <x:c r="G58" s="41" t="str">
        <x:v>Pin Loaded</x:v>
      </x:c>
      <x:c r="H58" s="41" t="str">
        <x:v>Arms</x:v>
      </x:c>
      <x:c r="I58" s="42" t="n">
        <x:v>10672</x:v>
      </x:c>
      <x:c r="J58" s="41" t="str">
        <x:v>Use in priority order; skip duplicate movement filler.</x:v>
      </x:c>
      <x:c r="K58" s="41" t="str">
        <x:v>EagleFlow_Product_Bulk_Update (2).xlsx</x:v>
      </x:c>
    </x:row>
    <x:row r="59">
      <x:c r="A59" s="41" t="str">
        <x:v>Burnsport</x:v>
      </x:c>
      <x:c r="B59" s="41" t="str">
        <x:v>Arms</x:v>
      </x:c>
      <x:c r="C59" s="41" t="n">
        <x:v>2</x:v>
      </x:c>
      <x:c r="D59" s="41" t="str">
        <x:v>HM-3007</x:v>
      </x:c>
      <x:c r="E59" s="41" t="str">
        <x:v>Triceps Extension</x:v>
      </x:c>
      <x:c r="F59" s="41" t="str">
        <x:v>HM</x:v>
      </x:c>
      <x:c r="G59" s="41" t="str">
        <x:v>Pin Loaded</x:v>
      </x:c>
      <x:c r="H59" s="41" t="str">
        <x:v>Arms</x:v>
      </x:c>
      <x:c r="I59" s="42" t="n">
        <x:v>14536</x:v>
      </x:c>
      <x:c r="J59" s="41" t="str">
        <x:v>Use in priority order; skip duplicate movement filler.</x:v>
      </x:c>
      <x:c r="K59" s="41" t="str">
        <x:v>EagleFlow_Product_Bulk_Update (2).xlsx</x:v>
      </x:c>
    </x:row>
    <x:row r="60">
      <x:c r="A60" s="41" t="str">
        <x:v>Burnsport</x:v>
      </x:c>
      <x:c r="B60" s="41" t="str">
        <x:v>Arms</x:v>
      </x:c>
      <x:c r="C60" s="41" t="n">
        <x:v>3</x:v>
      </x:c>
      <x:c r="D60" s="41" t="str">
        <x:v>HM-1016</x:v>
      </x:c>
      <x:c r="E60" s="41" t="str">
        <x:v>Seated Dip</x:v>
      </x:c>
      <x:c r="F60" s="41" t="str">
        <x:v>HM</x:v>
      </x:c>
      <x:c r="G60" s="41" t="str">
        <x:v>Plate Loaded</x:v>
      </x:c>
      <x:c r="H60" s="41" t="str">
        <x:v>Arms</x:v>
      </x:c>
      <x:c r="I60" s="42" t="n">
        <x:v>10672</x:v>
      </x:c>
      <x:c r="J60" s="41" t="str">
        <x:v>Use in priority order; skip duplicate movement filler.</x:v>
      </x:c>
      <x:c r="K60" s="41" t="str">
        <x:v>EagleFlow_Product_Bulk_Update (2).xlsx</x:v>
      </x:c>
    </x:row>
    <x:row r="61">
      <x:c r="A61" s="41" t="str">
        <x:v>Burnsport</x:v>
      </x:c>
      <x:c r="B61" s="41" t="str">
        <x:v>Arms</x:v>
      </x:c>
      <x:c r="C61" s="41" t="n">
        <x:v>4</x:v>
      </x:c>
      <x:c r="D61" s="41" t="str">
        <x:v>RS-3026</x:v>
      </x:c>
      <x:c r="E61" s="41" t="str">
        <x:v>Triceps Extension (RS-3026)</x:v>
      </x:c>
      <x:c r="F61" s="41" t="str">
        <x:v>RS</x:v>
      </x:c>
      <x:c r="G61" s="41" t="str">
        <x:v>Plate Loaded</x:v>
      </x:c>
      <x:c r="H61" s="41" t="str">
        <x:v>Arms</x:v>
      </x:c>
      <x:c r="I61" s="42" t="n">
        <x:v>10248.8</x:v>
      </x:c>
      <x:c r="J61" s="41" t="str">
        <x:v>Use in priority order; skip duplicate movement filler.</x:v>
      </x:c>
      <x:c r="K61" s="41" t="str">
        <x:v>EagleFlow_Product_Bulk_Update (2).xlsx</x:v>
      </x:c>
    </x:row>
    <x:row r="62">
      <x:c r="A62" s="41" t="str">
        <x:v>Burnsport</x:v>
      </x:c>
      <x:c r="B62" s="41" t="str">
        <x:v>Arms</x:v>
      </x:c>
      <x:c r="C62" s="41" t="n">
        <x:v>5</x:v>
      </x:c>
      <x:c r="D62" s="41" t="str">
        <x:v>HM-1015</x:v>
      </x:c>
      <x:c r="E62" s="41" t="str">
        <x:v>Seated Biceps</x:v>
      </x:c>
      <x:c r="F62" s="41" t="str">
        <x:v>HM</x:v>
      </x:c>
      <x:c r="G62" s="41" t="str">
        <x:v>Plate Loaded</x:v>
      </x:c>
      <x:c r="H62" s="41" t="str">
        <x:v>Arms</x:v>
      </x:c>
      <x:c r="I62" s="42" t="n">
        <x:v>10856</x:v>
      </x:c>
      <x:c r="J62" s="41" t="str">
        <x:v>Use in priority order; skip duplicate movement filler.</x:v>
      </x:c>
      <x:c r="K62" s="41" t="str">
        <x:v>EagleFlow_Product_Bulk_Update (2).xlsx</x:v>
      </x:c>
    </x:row>
    <x:row r="63">
      <x:c r="A63" s="41" t="str">
        <x:v>Burnsport</x:v>
      </x:c>
      <x:c r="B63" s="41" t="str">
        <x:v>Core / Abs</x:v>
      </x:c>
      <x:c r="C63" s="41" t="n">
        <x:v>1</x:v>
      </x:c>
      <x:c r="D63" s="41" t="str">
        <x:v>HM-3021</x:v>
      </x:c>
      <x:c r="E63" s="41" t="str">
        <x:v>Abdominal Crunch</x:v>
      </x:c>
      <x:c r="F63" s="41" t="str">
        <x:v>HM</x:v>
      </x:c>
      <x:c r="G63" s="41" t="str">
        <x:v>Pin Loaded</x:v>
      </x:c>
      <x:c r="H63" s="41" t="str">
        <x:v>Core / Abs</x:v>
      </x:c>
      <x:c r="I63" s="42" t="n">
        <x:v>13156</x:v>
      </x:c>
      <x:c r="J63" s="41" t="str">
        <x:v>Use in priority order; skip duplicate movement filler.</x:v>
      </x:c>
      <x:c r="K63" s="41" t="str">
        <x:v>EagleFlow_Product_Bulk_Update (2).xlsx</x:v>
      </x:c>
    </x:row>
    <x:row r="64">
      <x:c r="A64" s="41" t="str">
        <x:v>Burnsport</x:v>
      </x:c>
      <x:c r="B64" s="41" t="str">
        <x:v>Core / Abs</x:v>
      </x:c>
      <x:c r="C64" s="41" t="n">
        <x:v>2</x:v>
      </x:c>
      <x:c r="D64" s="41" t="str">
        <x:v>HM-1023</x:v>
      </x:c>
      <x:c r="E64" s="41" t="str">
        <x:v>Abdominal Oblique Crunch</x:v>
      </x:c>
      <x:c r="F64" s="41" t="str">
        <x:v>HM</x:v>
      </x:c>
      <x:c r="G64" s="41" t="str">
        <x:v>Plate Loaded</x:v>
      </x:c>
      <x:c r="H64" s="41" t="str">
        <x:v>Core / Abs</x:v>
      </x:c>
      <x:c r="I64" s="42" t="n">
        <x:v>11776</x:v>
      </x:c>
      <x:c r="J64" s="41" t="str">
        <x:v>Use in priority order; skip duplicate movement filler.</x:v>
      </x:c>
      <x:c r="K64" s="41" t="str">
        <x:v>EagleFlow_Product_Bulk_Update (2).xlsx</x:v>
      </x:c>
    </x:row>
    <x:row r="65">
      <x:c r="A65" s="41" t="str">
        <x:v>Burnsport</x:v>
      </x:c>
      <x:c r="B65" s="41" t="str">
        <x:v>Core / Abs</x:v>
      </x:c>
      <x:c r="C65" s="41" t="n">
        <x:v>3</x:v>
      </x:c>
      <x:c r="D65" s="41" t="str">
        <x:v>RS-4017</x:v>
      </x:c>
      <x:c r="E65" s="41" t="str">
        <x:v>Standing Abdominal Crunch</x:v>
      </x:c>
      <x:c r="F65" s="41" t="str">
        <x:v>RS</x:v>
      </x:c>
      <x:c r="G65" s="41" t="str">
        <x:v>Plate Loaded</x:v>
      </x:c>
      <x:c r="H65" s="41" t="str">
        <x:v>Core / Abs</x:v>
      </x:c>
      <x:c r="I65" s="42" t="n">
        <x:v>11564.4</x:v>
      </x:c>
      <x:c r="J65" s="41" t="str">
        <x:v>Use in priority order; skip duplicate movement filler.</x:v>
      </x:c>
      <x:c r="K65" s="41" t="str">
        <x:v>EagleFlow_Product_Bulk_Update (2).xlsx</x:v>
      </x:c>
    </x:row>
    <x:row r="66">
      <x:c r="A66" s="41" t="str">
        <x:v>Burnsport</x:v>
      </x:c>
      <x:c r="B66" s="41" t="str">
        <x:v>Legs</x:v>
      </x:c>
      <x:c r="C66" s="41" t="n">
        <x:v>1</x:v>
      </x:c>
      <x:c r="D66" s="41" t="str">
        <x:v>PRM-1013</x:v>
      </x:c>
      <x:c r="E66" s="41" t="str">
        <x:v>Leg Press (PRM-1013)</x:v>
      </x:c>
      <x:c r="F66" s="41" t="str">
        <x:v>PRM</x:v>
      </x:c>
      <x:c r="G66" s="41" t="str">
        <x:v>Plate Loaded</x:v>
      </x:c>
      <x:c r="H66" s="41" t="str">
        <x:v>Legs</x:v>
      </x:c>
      <x:c r="I66" s="42" t="n">
        <x:v>14352</x:v>
      </x:c>
      <x:c r="J66" s="41" t="str">
        <x:v>Use in priority order; skip duplicate movement filler.</x:v>
      </x:c>
      <x:c r="K66" s="41" t="str">
        <x:v>EagleFlow_Product_Bulk_Update (2).xlsx</x:v>
      </x:c>
    </x:row>
    <x:row r="67">
      <x:c r="A67" s="41" t="str">
        <x:v>Burnsport</x:v>
      </x:c>
      <x:c r="B67" s="41" t="str">
        <x:v>Legs</x:v>
      </x:c>
      <x:c r="C67" s="41" t="n">
        <x:v>2</x:v>
      </x:c>
      <x:c r="D67" s="41" t="str">
        <x:v>HM-3009</x:v>
      </x:c>
      <x:c r="E67" s="41" t="str">
        <x:v>Seated Leg Extension</x:v>
      </x:c>
      <x:c r="F67" s="41" t="str">
        <x:v>HM</x:v>
      </x:c>
      <x:c r="G67" s="41" t="str">
        <x:v>Pin Loaded</x:v>
      </x:c>
      <x:c r="H67" s="41" t="str">
        <x:v>Legs</x:v>
      </x:c>
      <x:c r="I67" s="42" t="n">
        <x:v>14536</x:v>
      </x:c>
      <x:c r="J67" s="41" t="str">
        <x:v>Use in priority order; skip duplicate movement filler.</x:v>
      </x:c>
      <x:c r="K67" s="41" t="str">
        <x:v>EagleFlow_Product_Bulk_Update (2).xlsx</x:v>
      </x:c>
    </x:row>
    <x:row r="68">
      <x:c r="A68" s="41" t="str">
        <x:v>Burnsport</x:v>
      </x:c>
      <x:c r="B68" s="41" t="str">
        <x:v>Legs</x:v>
      </x:c>
      <x:c r="C68" s="41" t="n">
        <x:v>3</x:v>
      </x:c>
      <x:c r="D68" s="41" t="str">
        <x:v>HM-3010</x:v>
      </x:c>
      <x:c r="E68" s="41" t="str">
        <x:v>Seated Leg Curl</x:v>
      </x:c>
      <x:c r="F68" s="41" t="str">
        <x:v>HM</x:v>
      </x:c>
      <x:c r="G68" s="41" t="str">
        <x:v>Pin Loaded</x:v>
      </x:c>
      <x:c r="H68" s="41" t="str">
        <x:v>Legs</x:v>
      </x:c>
      <x:c r="I68" s="42" t="n">
        <x:v>14536</x:v>
      </x:c>
      <x:c r="J68" s="41" t="str">
        <x:v>Use in priority order; skip duplicate movement filler.</x:v>
      </x:c>
      <x:c r="K68" s="41" t="str">
        <x:v>EagleFlow_Product_Bulk_Update (2).xlsx</x:v>
      </x:c>
    </x:row>
    <x:row r="69">
      <x:c r="A69" s="41" t="str">
        <x:v>Burnsport</x:v>
      </x:c>
      <x:c r="B69" s="41" t="str">
        <x:v>Legs</x:v>
      </x:c>
      <x:c r="C69" s="41" t="n">
        <x:v>4</x:v>
      </x:c>
      <x:c r="D69" s="41" t="str">
        <x:v>RS-1002</x:v>
      </x:c>
      <x:c r="E69" s="41" t="str">
        <x:v>Hack Squat</x:v>
      </x:c>
      <x:c r="F69" s="41" t="str">
        <x:v>RS</x:v>
      </x:c>
      <x:c r="G69" s="41" t="str">
        <x:v>Plate Loaded</x:v>
      </x:c>
      <x:c r="H69" s="41" t="str">
        <x:v>Legs</x:v>
      </x:c>
      <x:c r="I69" s="42" t="n">
        <x:v>12861.6</x:v>
      </x:c>
      <x:c r="J69" s="41" t="str">
        <x:v>Use in priority order; skip duplicate movement filler.</x:v>
      </x:c>
      <x:c r="K69" s="41" t="str">
        <x:v>EagleFlow_Product_Bulk_Update (2).xlsx</x:v>
      </x:c>
    </x:row>
    <x:row r="70">
      <x:c r="A70" s="41" t="str">
        <x:v>Burnsport</x:v>
      </x:c>
      <x:c r="B70" s="41" t="str">
        <x:v>Legs</x:v>
      </x:c>
      <x:c r="C70" s="41" t="n">
        <x:v>5</x:v>
      </x:c>
      <x:c r="D70" s="41" t="str">
        <x:v>HM-1034</x:v>
      </x:c>
      <x:c r="E70" s="41" t="str">
        <x:v>Super Horizontal Calf</x:v>
      </x:c>
      <x:c r="F70" s="41" t="str">
        <x:v>HM</x:v>
      </x:c>
      <x:c r="G70" s="41" t="str">
        <x:v>Plate Loaded</x:v>
      </x:c>
      <x:c r="H70" s="41" t="str">
        <x:v>Legs</x:v>
      </x:c>
      <x:c r="I70" s="42" t="n">
        <x:v>9936</x:v>
      </x:c>
      <x:c r="J70" s="41" t="str">
        <x:v>Use in priority order; skip duplicate movement filler.</x:v>
      </x:c>
      <x:c r="K70" s="41" t="str">
        <x:v>EagleFlow_Product_Bulk_Update (2).xlsx</x:v>
      </x:c>
    </x:row>
    <x:row r="71">
      <x:c r="A71" s="41" t="str">
        <x:v>Burnsport</x:v>
      </x:c>
      <x:c r="B71" s="41" t="str">
        <x:v>Legs</x:v>
      </x:c>
      <x:c r="C71" s="41" t="n">
        <x:v>6</x:v>
      </x:c>
      <x:c r="D71" s="41" t="str">
        <x:v>RS-1007</x:v>
      </x:c>
      <x:c r="E71" s="41" t="str">
        <x:v>Belt Squat (RS-1007)</x:v>
      </x:c>
      <x:c r="F71" s="41" t="str">
        <x:v>RS</x:v>
      </x:c>
      <x:c r="G71" s="41" t="str">
        <x:v>Plate Loaded</x:v>
      </x:c>
      <x:c r="H71" s="41" t="str">
        <x:v>Legs</x:v>
      </x:c>
      <x:c r="I71" s="42" t="n">
        <x:v>9936</x:v>
      </x:c>
      <x:c r="J71" s="41" t="str">
        <x:v>Use in priority order; skip duplicate movement filler.</x:v>
      </x:c>
      <x:c r="K71" s="41" t="str">
        <x:v>EagleFlow_Product_Bulk_Update (2).xlsx</x:v>
      </x:c>
    </x:row>
    <x:row r="72">
      <x:c r="A72" s="41" t="str">
        <x:v>Burnsport</x:v>
      </x:c>
      <x:c r="B72" s="41" t="str">
        <x:v>Legs</x:v>
      </x:c>
      <x:c r="C72" s="41" t="n">
        <x:v>7</x:v>
      </x:c>
      <x:c r="D72" s="41" t="str">
        <x:v>RS-1005</x:v>
      </x:c>
      <x:c r="E72" s="41" t="str">
        <x:v>Pendulum Squat (RS-1005)</x:v>
      </x:c>
      <x:c r="F72" s="41" t="str">
        <x:v>RS</x:v>
      </x:c>
      <x:c r="G72" s="41" t="str">
        <x:v>Plate Loaded</x:v>
      </x:c>
      <x:c r="H72" s="41" t="str">
        <x:v>Legs</x:v>
      </x:c>
      <x:c r="I72" s="42" t="n">
        <x:v>12861.6</x:v>
      </x:c>
      <x:c r="J72" s="41" t="str">
        <x:v>Use in priority order; skip duplicate movement filler.</x:v>
      </x:c>
      <x:c r="K72" s="41" t="str">
        <x:v>EagleFlow_Product_Bulk_Update (2).xlsx</x:v>
      </x:c>
    </x:row>
    <x:row r="73">
      <x:c r="A73" s="41" t="str">
        <x:v>Burnsport</x:v>
      </x:c>
      <x:c r="B73" s="41" t="str">
        <x:v>Glutes</x:v>
      </x:c>
      <x:c r="C73" s="41" t="n">
        <x:v>1</x:v>
      </x:c>
      <x:c r="D73" s="41" t="str">
        <x:v>HM-3017</x:v>
      </x:c>
      <x:c r="E73" s="41" t="str">
        <x:v>Hip Adduction</x:v>
      </x:c>
      <x:c r="F73" s="41" t="str">
        <x:v>HM</x:v>
      </x:c>
      <x:c r="G73" s="41" t="str">
        <x:v>Pin Loaded</x:v>
      </x:c>
      <x:c r="H73" s="41" t="str">
        <x:v>Glutes</x:v>
      </x:c>
      <x:c r="I73" s="42" t="n">
        <x:v>14536</x:v>
      </x:c>
      <x:c r="J73" s="41" t="str">
        <x:v>Use in priority order; skip duplicate movement filler.</x:v>
      </x:c>
      <x:c r="K73" s="41" t="str">
        <x:v>EagleFlow_Product_Bulk_Update (2).xlsx</x:v>
      </x:c>
    </x:row>
    <x:row r="74">
      <x:c r="A74" s="41" t="str">
        <x:v>Burnsport</x:v>
      </x:c>
      <x:c r="B74" s="41" t="str">
        <x:v>Glutes</x:v>
      </x:c>
      <x:c r="C74" s="41" t="n">
        <x:v>2</x:v>
      </x:c>
      <x:c r="D74" s="41" t="str">
        <x:v>RS-1011</x:v>
      </x:c>
      <x:c r="E74" s="41" t="str">
        <x:v>Seated Hip Thrust</x:v>
      </x:c>
      <x:c r="F74" s="41" t="str">
        <x:v>RS</x:v>
      </x:c>
      <x:c r="G74" s="41" t="str">
        <x:v>Plate Loaded</x:v>
      </x:c>
      <x:c r="H74" s="41" t="str">
        <x:v>Glutes</x:v>
      </x:c>
      <x:c r="I74" s="42" t="n">
        <x:v>9016</x:v>
      </x:c>
      <x:c r="J74" s="41" t="str">
        <x:v>Use in priority order; skip duplicate movement filler.</x:v>
      </x:c>
      <x:c r="K74" s="41" t="str">
        <x:v>EagleFlow_Product_Bulk_Update (2).xlsx</x:v>
      </x:c>
    </x:row>
    <x:row r="75">
      <x:c r="A75" s="41" t="str">
        <x:v>Burnsport</x:v>
      </x:c>
      <x:c r="B75" s="41" t="str">
        <x:v>Glutes</x:v>
      </x:c>
      <x:c r="C75" s="41" t="n">
        <x:v>3</x:v>
      </x:c>
      <x:c r="D75" s="41" t="str">
        <x:v>HM-1028</x:v>
      </x:c>
      <x:c r="E75" s="41" t="str">
        <x:v>Glute Drive</x:v>
      </x:c>
      <x:c r="F75" s="41" t="str">
        <x:v>HM</x:v>
      </x:c>
      <x:c r="G75" s="41" t="str">
        <x:v>Plate Loaded</x:v>
      </x:c>
      <x:c r="H75" s="41" t="str">
        <x:v>Glutes</x:v>
      </x:c>
      <x:c r="I75" s="42" t="n">
        <x:v>11776</x:v>
      </x:c>
      <x:c r="J75" s="41" t="str">
        <x:v>Use in priority order; skip duplicate movement filler.</x:v>
      </x:c>
      <x:c r="K75" s="41" t="str">
        <x:v>EagleFlow_Product_Bulk_Update (2).xlsx</x:v>
      </x:c>
    </x:row>
    <x:row r="76">
      <x:c r="A76" s="41" t="str">
        <x:v>Burnsport</x:v>
      </x:c>
      <x:c r="B76" s="41" t="str">
        <x:v>Glutes</x:v>
      </x:c>
      <x:c r="C76" s="41" t="n">
        <x:v>4</x:v>
      </x:c>
      <x:c r="D76" s="41" t="str">
        <x:v>HM-3008</x:v>
      </x:c>
      <x:c r="E76" s="41" t="str">
        <x:v>Hip Abduction</x:v>
      </x:c>
      <x:c r="F76" s="41" t="str">
        <x:v>HM</x:v>
      </x:c>
      <x:c r="G76" s="41" t="str">
        <x:v>Pin Loaded</x:v>
      </x:c>
      <x:c r="H76" s="41" t="str">
        <x:v>Glutes</x:v>
      </x:c>
      <x:c r="I76" s="42" t="n">
        <x:v>14536</x:v>
      </x:c>
      <x:c r="J76" s="41" t="str">
        <x:v>Use in priority order; skip duplicate movement filler.</x:v>
      </x:c>
      <x:c r="K76" s="41" t="str">
        <x:v>EagleFlow_Product_Bulk_Update (2).xlsx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c0be17306624ae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58" hidden="0" customWidth="1"/>
  </x:cols>
  <x:sheetData>
    <x:row r="1">
      <x:c r="A1" s="5" t="str">
        <x:v>Locked Quick Quote automation rules</x:v>
      </x:c>
      <x:c r="B1" s="5"/>
      <x:c r="C1" s="5"/>
      <x:c r="D1" s="5"/>
    </x:row>
    <x:row r="2">
      <x:c r="A2" s="40"/>
      <x:c r="B2" s="40"/>
      <x:c r="C2" s="40"/>
      <x:c r="D2" s="40"/>
    </x:row>
    <x:row r="3">
      <x:c r="A3" s="20" t="str">
        <x:v>Rule</x:v>
      </x:c>
      <x:c r="B3" s="20" t="str">
        <x:v>Premier</x:v>
      </x:c>
      <x:c r="C3" s="20" t="str">
        <x:v>Burnsport</x:v>
      </x:c>
      <x:c r="D3" s="20" t="str">
        <x:v>Automation Note</x:v>
      </x:c>
    </x:row>
    <x:row r="4">
      <x:c r="A4" s="41" t="str">
        <x:v>Main full-gym range</x:v>
      </x:c>
      <x:c r="B4" s="41" t="str">
        <x:v>AED 250K–500K</x:v>
      </x:c>
      <x:c r="C4" s="41" t="str">
        <x:v>AED 350K–700K</x:v>
      </x:c>
      <x:c r="D4" s="41" t="str">
        <x:v>Profiles in this workbook are tuned to current catalog prices and land inside these ranges.</x:v>
      </x:c>
    </x:row>
    <x:row r="5">
      <x:c r="A5" s="41" t="str">
        <x:v>Budget basis</x:v>
      </x:c>
      <x:c r="B5" s="41" t="str">
        <x:v>Final equipment total incl. 5% VAT</x:v>
      </x:c>
      <x:c r="C5" s="41" t="str">
        <x:v>Final equipment total incl. 5% VAT</x:v>
      </x:c>
      <x:c r="D5" s="41" t="str">
        <x:v>Delivery / installation / other charges excluded.</x:v>
      </x:c>
    </x:row>
    <x:row r="6">
      <x:c r="A6" s="41" t="str">
        <x:v>Smith Machine</x:v>
      </x:c>
      <x:c r="B6" s="41" t="str">
        <x:v>Exactly 1</x:v>
      </x:c>
      <x:c r="C6" s="41" t="str">
        <x:v>Exactly 1</x:v>
      </x:c>
      <x:c r="D6" s="41" t="str">
        <x:v>Mandatory core item.</x:v>
      </x:c>
    </x:row>
    <x:row r="7">
      <x:c r="A7" s="41" t="str">
        <x:v>Functional Trainer</x:v>
      </x:c>
      <x:c r="B7" s="41" t="str">
        <x:v>Exactly 1</x:v>
      </x:c>
      <x:c r="C7" s="41" t="str">
        <x:v>Exactly 1</x:v>
      </x:c>
      <x:c r="D7" s="41" t="str">
        <x:v>Mandatory core item.</x:v>
      </x:c>
    </x:row>
    <x:row r="8">
      <x:c r="A8" s="41" t="str">
        <x:v>Multi Station</x:v>
      </x:c>
      <x:c r="B8" s="41" t="str">
        <x:v>4 / 5 / 8 only</x:v>
      </x:c>
      <x:c r="C8" s="41" t="str">
        <x:v>4 / 5 / 8 only</x:v>
      </x:c>
      <x:c r="D8" s="41" t="str">
        <x:v>One station model only; never combine sizes; no 12 / 16 station.</x:v>
      </x:c>
    </x:row>
    <x:row r="9">
      <x:c r="A9" s="41" t="str">
        <x:v>Cardio</x:v>
      </x:c>
      <x:c r="B9" s="41" t="str">
        <x:v>Treadmill min. 3; counts scale</x:v>
      </x:c>
      <x:c r="C9" s="41" t="str">
        <x:v>Treadmill min. 3; counts scale</x:v>
      </x:c>
      <x:c r="D9" s="41" t="str">
        <x:v>Add Cross / Bikes / Spin / Stair / Rower / SkiErg according to budget.</x:v>
      </x:c>
    </x:row>
    <x:row r="10">
      <x:c r="A10" s="41" t="str">
        <x:v>Weight plates from 200K+</x:v>
      </x:c>
      <x:c r="B10" s="41" t="str">
        <x:v>TPU family</x:v>
      </x:c>
      <x:c r="C10" s="41" t="str">
        <x:v>PU family</x:v>
      </x:c>
      <x:c r="D10" s="41" t="str">
        <x:v>2.5 / 5 / 10 / 20kg; one family only; qty scales with budget.</x:v>
      </x:c>
    </x:row>
    <x:row r="11">
      <x:c r="A11" s="41" t="str">
        <x:v>Dumbbell full set</x:v>
      </x:c>
      <x:c r="B11" s="41" t="str">
        <x:v>PM1012-50 + 2 × PM0011C</x:v>
      </x:c>
      <x:c r="C11" s="41" t="str">
        <x:v>BRN-001-2 + 2 × HM-2017</x:v>
      </x:c>
      <x:c r="D11" s="41" t="str">
        <x:v>Full set = exactly 2 matching racks.</x:v>
      </x:c>
    </x:row>
    <x:row r="12">
      <x:c r="A12" s="41" t="str">
        <x:v>Dumbbell half set</x:v>
      </x:c>
      <x:c r="B12" s="41" t="str">
        <x:v>PM1012 + 1 × PM0011C</x:v>
      </x:c>
      <x:c r="C12" s="41" t="str">
        <x:v>BRN-001-1 + 1 × HM-2017</x:v>
      </x:c>
      <x:c r="D12" s="41" t="str">
        <x:v>Half set = exactly 1 matching rack.</x:v>
      </x:c>
    </x:row>
    <x:row r="13">
      <x:c r="A13" s="41" t="str">
        <x:v>Barbells</x:v>
      </x:c>
      <x:c r="B13" s="41" t="str">
        <x:v>Complete Barbell Set</x:v>
      </x:c>
      <x:c r="C13" s="41" t="str">
        <x:v>Complete Barbell Set</x:v>
      </x:c>
      <x:c r="D13" s="41" t="str">
        <x:v>Do not generate individual Olympic / EZ / straight bar counts.</x:v>
      </x:c>
    </x:row>
    <x:row r="14">
      <x:c r="A14" s="41" t="str">
        <x:v>Barbell rack</x:v>
      </x:c>
      <x:c r="B14" s="41" t="str">
        <x:v>PM0041</x:v>
      </x:c>
      <x:c r="C14" s="41" t="str">
        <x:v>HM-2023</x:v>
      </x:c>
      <x:c r="D14" s="41" t="str">
        <x:v>1 rack per complete barbell set.</x:v>
      </x:c>
    </x:row>
    <x:row r="15">
      <x:c r="A15" s="41" t="str">
        <x:v>Benches</x:v>
      </x:c>
      <x:c r="B15" s="41" t="str">
        <x:v>Adjustable / Crunch / Lower Back / Flat / Olympic</x:v>
      </x:c>
      <x:c r="C15" s="41" t="str">
        <x:v>Same coverage using available Burnsport equivalents</x:v>
      </x:c>
      <x:c r="D15" s="41" t="str">
        <x:v>Bench quantity scales by gym size.</x:v>
      </x:c>
    </x:row>
    <x:row r="16">
      <x:c r="A16" s="41" t="str">
        <x:v>Strength</x:v>
      </x:c>
      <x:c r="B16" s="41" t="str">
        <x:v>Area + movement priority; default APN/APL shown</x:v>
      </x:c>
      <x:c r="C16" s="41" t="str">
        <x:v>Burnsport movement priority</x:v>
      </x:c>
      <x:c r="D16" s="41" t="str">
        <x:v>Budget increases actual movement count; no arbitrary duplicate filler.</x:v>
      </x:c>
    </x:row>
    <x:row r="17">
      <x:c r="A17" s="40"/>
      <x:c r="B17" s="40"/>
      <x:c r="C17" s="40"/>
      <x:c r="D17" s="40"/>
    </x:row>
    <x:row r="18">
      <x:c r="A18" s="40"/>
      <x:c r="B18" s="40"/>
      <x:c r="C18" s="40"/>
      <x:c r="D18" s="40"/>
    </x:row>
    <x:row r="19">
      <x:c r="A19" s="20" t="str">
        <x:v>Review / fallback items</x:v>
      </x:c>
      <x:c r="B19" s="20" t="str">
        <x:v>Reason</x:v>
      </x:c>
      <x:c r="C19" s="20" t="str">
        <x:v>Current fallback</x:v>
      </x:c>
      <x:c r="D19" s="20" t="str">
        <x:v>Automation handling</x:v>
      </x:c>
    </x:row>
    <x:row r="20">
      <x:c r="A20" s="41" t="str">
        <x:v>Premier Spinning Bike</x:v>
      </x:c>
      <x:c r="B20" s="41" t="str">
        <x:v>No Premier commercial spinning bike in uploaded source</x:v>
      </x:c>
      <x:c r="C20" s="41" t="str">
        <x:v>CD-006 Burnsport Spinning Bike</x:v>
      </x:c>
      <x:c r="D20" s="41" t="str">
        <x:v>Keep Review Flag = Yes until explicitly accepted as permanent fallback.</x:v>
      </x:c>
    </x:row>
    <x:row r="21">
      <x:c r="A21" s="41" t="str">
        <x:v>Burnsport Stair Master</x:v>
      </x:c>
      <x:c r="B21" s="41" t="str">
        <x:v>No Burnsport Stair Master in uploaded source</x:v>
      </x:c>
      <x:c r="C21" s="41" t="str">
        <x:v>PR159 Premier Stair Master</x:v>
      </x:c>
      <x:c r="D21" s="41" t="str">
        <x:v>Keep Review Flag = Yes.</x:v>
      </x:c>
    </x:row>
    <x:row r="22">
      <x:c r="A22" s="41" t="str">
        <x:v>Burnsport Barbell Set</x:v>
      </x:c>
      <x:c r="B22" s="41" t="str">
        <x:v>No Burnsport complete barbell set in uploaded source</x:v>
      </x:c>
      <x:c r="C22" s="41" t="str">
        <x:v>PM3015 / PM3015-250 Premier</x:v>
      </x:c>
      <x:c r="D22" s="41" t="str">
        <x:v>Do not silently replace if a Burnsport set is later added; update role mapping.</x:v>
      </x:c>
    </x:row>
    <x:row r="23">
      <x:c r="A23" s="41" t="str">
        <x:v>Burnsport Adjustable Crunch Bench</x:v>
      </x:c>
      <x:c r="B23" s="41" t="str">
        <x:v>No exact adjustable crunch bench found</x:v>
      </x:c>
      <x:c r="C23" s="41" t="str">
        <x:v>HM-2006 Decline Bench</x:v>
      </x:c>
      <x:c r="D23" s="41" t="str">
        <x:v>Review before fully automatic selection.</x:v>
      </x:c>
    </x:row>
    <x:row r="24">
      <x:c r="A24" s="41" t="str">
        <x:v>Burnsport Lower Back Bench</x:v>
      </x:c>
      <x:c r="B24" s="41" t="str">
        <x:v>No dedicated lower-back bench found</x:v>
      </x:c>
      <x:c r="C24" s="41" t="str">
        <x:v>HM-3022 Back Extension machine</x:v>
      </x:c>
      <x:c r="D24" s="41" t="str">
        <x:v>Machine-equivalent fallback; Review Flag = Yes.</x:v>
      </x:c>
    </x:row>
    <x:row r="25">
      <x:c r="A25" s="41" t="str">
        <x:v>Burnsport Olympic Decline Bench</x:v>
      </x:c>
      <x:c r="B25" s="41" t="str">
        <x:v>No dedicated Olympic decline bench found</x:v>
      </x:c>
      <x:c r="C25" s="41" t="str">
        <x:v>HM-2006 Decline Bench</x:v>
      </x:c>
      <x:c r="D25" s="41" t="str">
        <x:v>Review before fully automatic selection.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0a718c004a4499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4" hidden="0" customWidth="1"/>
    <x:col min="4" max="4" width="14" hidden="0" customWidth="1"/>
    <x:col min="5" max="5" width="20" hidden="0" customWidth="1"/>
    <x:col min="6" max="6" width="28" hidden="0" customWidth="1"/>
    <x:col min="7" max="7" width="34" hidden="0" customWidth="1"/>
    <x:col min="8" max="8" width="14" hidden="0" customWidth="1"/>
    <x:col min="9" max="9" width="12" hidden="0" customWidth="1"/>
    <x:col min="10" max="10" width="60" hidden="0" customWidth="1"/>
  </x:cols>
  <x:sheetData>
    <x:row r="1">
      <x:c r="A1" s="5" t="str">
        <x:v>Automation product-role map — current catalog snapshot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</x:row>
    <x:row r="3">
      <x:c r="A3" s="20" t="str">
        <x:v>Product Code</x:v>
      </x:c>
      <x:c r="B3" s="20" t="str">
        <x:v>Product Name</x:v>
      </x:c>
      <x:c r="C3" s="20" t="str">
        <x:v>Catalog Brand</x:v>
      </x:c>
      <x:c r="D3" s="20" t="str">
        <x:v>Category</x:v>
      </x:c>
      <x:c r="E3" s="20" t="str">
        <x:v>Automation Section</x:v>
      </x:c>
      <x:c r="F3" s="20" t="str">
        <x:v>Automation Role</x:v>
      </x:c>
      <x:c r="G3" s="20" t="str">
        <x:v>Role Key</x:v>
      </x:c>
      <x:c r="H3" s="20" t="str">
        <x:v>Unit Price AED</x:v>
      </x:c>
      <x:c r="I3" s="20" t="str">
        <x:v>Auto Eligible</x:v>
      </x:c>
      <x:c r="J3" s="20" t="str">
        <x:v>Notes</x:v>
      </x:c>
    </x:row>
    <x:row r="4">
      <x:c r="A4" s="41" t="str">
        <x:v>6835TA-LED</x:v>
      </x:c>
      <x:c r="B4" s="41" t="str">
        <x:v>Treadmill LED Screen</x:v>
      </x:c>
      <x:c r="C4" s="41" t="str">
        <x:v>Premier</x:v>
      </x:c>
      <x:c r="D4" s="41" t="str">
        <x:v>Cardio</x:v>
      </x:c>
      <x:c r="E4" s="41" t="str">
        <x:v>Cardio</x:v>
      </x:c>
      <x:c r="F4" s="41" t="str">
        <x:v>Treadmill</x:v>
      </x:c>
      <x:c r="G4" s="41" t="str">
        <x:v>cardio_treadmill</x:v>
      </x:c>
      <x:c r="H4" s="42" t="n">
        <x:v>5850</x:v>
      </x:c>
      <x:c r="I4" s="41" t="str">
        <x:v>Yes</x:v>
      </x:c>
      <x:c r="J4" s="41" t="str"/>
    </x:row>
    <x:row r="5">
      <x:c r="A5" s="41" t="str">
        <x:v>E38001</x:v>
      </x:c>
      <x:c r="B5" s="41" t="str">
        <x:v>Elliptical Bike Commercial</x:v>
      </x:c>
      <x:c r="C5" s="41" t="str">
        <x:v>Premier</x:v>
      </x:c>
      <x:c r="D5" s="41" t="str">
        <x:v>Cardio</x:v>
      </x:c>
      <x:c r="E5" s="41" t="str">
        <x:v>Cardio</x:v>
      </x:c>
      <x:c r="F5" s="41" t="str">
        <x:v>Cross Trainer</x:v>
      </x:c>
      <x:c r="G5" s="41" t="str">
        <x:v>cardio_cross_trainer</x:v>
      </x:c>
      <x:c r="H5" s="42" t="n">
        <x:v>7500</x:v>
      </x:c>
      <x:c r="I5" s="41" t="str">
        <x:v>Yes</x:v>
      </x:c>
      <x:c r="J5" s="41" t="str"/>
    </x:row>
    <x:row r="6">
      <x:c r="A6" s="41" t="str">
        <x:v>B12101</x:v>
      </x:c>
      <x:c r="B6" s="41" t="str">
        <x:v>Upright Bike Commercial</x:v>
      </x:c>
      <x:c r="C6" s="41" t="str">
        <x:v>Premier</x:v>
      </x:c>
      <x:c r="D6" s="41" t="str">
        <x:v>Cardio</x:v>
      </x:c>
      <x:c r="E6" s="41" t="str">
        <x:v>Cardio</x:v>
      </x:c>
      <x:c r="F6" s="41" t="str">
        <x:v>Upright Bike</x:v>
      </x:c>
      <x:c r="G6" s="41" t="str">
        <x:v>cardio_upright_bike</x:v>
      </x:c>
      <x:c r="H6" s="42" t="n">
        <x:v>4750</x:v>
      </x:c>
      <x:c r="I6" s="41" t="str">
        <x:v>Yes</x:v>
      </x:c>
      <x:c r="J6" s="41" t="str"/>
    </x:row>
    <x:row r="7">
      <x:c r="A7" s="41" t="str">
        <x:v>R12001</x:v>
      </x:c>
      <x:c r="B7" s="41" t="str">
        <x:v>Recumbent Bike Commercial</x:v>
      </x:c>
      <x:c r="C7" s="41" t="str">
        <x:v>Premier</x:v>
      </x:c>
      <x:c r="D7" s="41" t="str">
        <x:v>Cardio</x:v>
      </x:c>
      <x:c r="E7" s="41" t="str">
        <x:v>Cardio</x:v>
      </x:c>
      <x:c r="F7" s="41" t="str">
        <x:v>Recumbent Bike</x:v>
      </x:c>
      <x:c r="G7" s="41" t="str">
        <x:v>cardio_recumbent_bike</x:v>
      </x:c>
      <x:c r="H7" s="42" t="n">
        <x:v>5500</x:v>
      </x:c>
      <x:c r="I7" s="41" t="str">
        <x:v>Yes</x:v>
      </x:c>
      <x:c r="J7" s="41" t="str"/>
    </x:row>
    <x:row r="8">
      <x:c r="A8" s="41" t="str">
        <x:v>CD-006</x:v>
      </x:c>
      <x:c r="B8" s="41" t="str">
        <x:v>Spinning Bike</x:v>
      </x:c>
      <x:c r="C8" s="41" t="str">
        <x:v>Burnsport</x:v>
      </x:c>
      <x:c r="D8" s="41" t="str">
        <x:v>Cardio</x:v>
      </x:c>
      <x:c r="E8" s="41" t="str">
        <x:v>Cardio</x:v>
      </x:c>
      <x:c r="F8" s="41" t="str">
        <x:v>Spinning Bike</x:v>
      </x:c>
      <x:c r="G8" s="41" t="str">
        <x:v>cardio_spinning_bike</x:v>
      </x:c>
      <x:c r="H8" s="42" t="n">
        <x:v>3500</x:v>
      </x:c>
      <x:c r="I8" s="41" t="str">
        <x:v>Yes</x:v>
      </x:c>
      <x:c r="J8" s="41" t="str"/>
    </x:row>
    <x:row r="9">
      <x:c r="A9" s="41" t="str">
        <x:v>PR159</x:v>
      </x:c>
      <x:c r="B9" s="41" t="str">
        <x:v>Stair Master</x:v>
      </x:c>
      <x:c r="C9" s="41" t="str">
        <x:v>Premier</x:v>
      </x:c>
      <x:c r="D9" s="41" t="str">
        <x:v>Cardio</x:v>
      </x:c>
      <x:c r="E9" s="41" t="str">
        <x:v>Cardio</x:v>
      </x:c>
      <x:c r="F9" s="41" t="str">
        <x:v>Stair Master</x:v>
      </x:c>
      <x:c r="G9" s="41" t="str">
        <x:v>cardio_stair_master</x:v>
      </x:c>
      <x:c r="H9" s="42" t="n">
        <x:v>9500</x:v>
      </x:c>
      <x:c r="I9" s="41" t="str">
        <x:v>Review</x:v>
      </x:c>
      <x:c r="J9" s="41" t="str">
        <x:v>Burnsport stair master is not present in the uploaded source; Premier PR159 is the current fallback.</x:v>
      </x:c>
    </x:row>
    <x:row r="10">
      <x:c r="A10" s="41" t="str">
        <x:v>PR536</x:v>
      </x:c>
      <x:c r="B10" s="41" t="str">
        <x:v>Rower</x:v>
      </x:c>
      <x:c r="C10" s="41" t="str">
        <x:v>Premier</x:v>
      </x:c>
      <x:c r="D10" s="41" t="str">
        <x:v>Cardio</x:v>
      </x:c>
      <x:c r="E10" s="41" t="str">
        <x:v>Cardio</x:v>
      </x:c>
      <x:c r="F10" s="41" t="str">
        <x:v>Rower</x:v>
      </x:c>
      <x:c r="G10" s="41" t="str">
        <x:v>cardio_rower</x:v>
      </x:c>
      <x:c r="H10" s="42" t="n">
        <x:v>2750</x:v>
      </x:c>
      <x:c r="I10" s="41" t="str">
        <x:v>Yes</x:v>
      </x:c>
      <x:c r="J10" s="41" t="str"/>
    </x:row>
    <x:row r="11">
      <x:c r="A11" s="41" t="str">
        <x:v>PR432</x:v>
      </x:c>
      <x:c r="B11" s="41" t="str">
        <x:v>Skeirg</x:v>
      </x:c>
      <x:c r="C11" s="41" t="str">
        <x:v>Premier</x:v>
      </x:c>
      <x:c r="D11" s="41" t="str">
        <x:v>Cardio</x:v>
      </x:c>
      <x:c r="E11" s="41" t="str">
        <x:v>Cardio</x:v>
      </x:c>
      <x:c r="F11" s="41" t="str">
        <x:v>SkiErg</x:v>
      </x:c>
      <x:c r="G11" s="41" t="str">
        <x:v>cardio_skierg</x:v>
      </x:c>
      <x:c r="H11" s="42" t="n">
        <x:v>2850</x:v>
      </x:c>
      <x:c r="I11" s="41" t="str">
        <x:v>Yes</x:v>
      </x:c>
      <x:c r="J11" s="41" t="str"/>
    </x:row>
    <x:row r="12">
      <x:c r="A12" s="41" t="str">
        <x:v>APL01</x:v>
      </x:c>
      <x:c r="B12" s="41" t="str">
        <x:v>Smith Machine</x:v>
      </x:c>
      <x:c r="C12" s="41" t="str">
        <x:v>Premier</x:v>
      </x:c>
      <x:c r="D12" s="41" t="str">
        <x:v>Strength</x:v>
      </x:c>
      <x:c r="E12" s="41" t="str">
        <x:v>Functional / Multi</x:v>
      </x:c>
      <x:c r="F12" s="41" t="str">
        <x:v>Smith Machine</x:v>
      </x:c>
      <x:c r="G12" s="41" t="str">
        <x:v>functional_multi_smith_machine</x:v>
      </x:c>
      <x:c r="H12" s="42" t="n">
        <x:v>6560</x:v>
      </x:c>
      <x:c r="I12" s="41" t="str">
        <x:v>Yes</x:v>
      </x:c>
      <x:c r="J12" s="41" t="str">
        <x:v>Smith is mandatory in every full-gym profile.</x:v>
      </x:c>
    </x:row>
    <x:row r="13">
      <x:c r="A13" s="41" t="str">
        <x:v>APN37</x:v>
      </x:c>
      <x:c r="B13" s="41" t="str">
        <x:v>Functional Trainer &amp; Accessories</x:v>
      </x:c>
      <x:c r="C13" s="41" t="str">
        <x:v>Premier</x:v>
      </x:c>
      <x:c r="D13" s="41" t="str">
        <x:v>Strength</x:v>
      </x:c>
      <x:c r="E13" s="41" t="str">
        <x:v>Functional / Multi</x:v>
      </x:c>
      <x:c r="F13" s="41" t="str">
        <x:v>Functional Trainer</x:v>
      </x:c>
      <x:c r="G13" s="41" t="str">
        <x:v>functional_multi_functional_trainer</x:v>
      </x:c>
      <x:c r="H13" s="42" t="n">
        <x:v>10070</x:v>
      </x:c>
      <x:c r="I13" s="41" t="str">
        <x:v>Yes</x:v>
      </x:c>
      <x:c r="J13" s="41" t="str">
        <x:v>Functional Trainer is exactly 1.</x:v>
      </x:c>
    </x:row>
    <x:row r="14">
      <x:c r="A14" s="41" t="str">
        <x:v>APN42</x:v>
      </x:c>
      <x:c r="B14" s="41" t="str">
        <x:v>5 Station</x:v>
      </x:c>
      <x:c r="C14" s="41" t="str">
        <x:v>Premier</x:v>
      </x:c>
      <x:c r="D14" s="41" t="str">
        <x:v>Strength</x:v>
      </x:c>
      <x:c r="E14" s="41" t="str">
        <x:v>Functional / Multi</x:v>
      </x:c>
      <x:c r="F14" s="41" t="str">
        <x:v>5 Station</x:v>
      </x:c>
      <x:c r="G14" s="41" t="str">
        <x:v>functional_multi_5_station</x:v>
      </x:c>
      <x:c r="H14" s="42" t="n">
        <x:v>27150</x:v>
      </x:c>
      <x:c r="I14" s="41" t="str">
        <x:v>Yes</x:v>
      </x:c>
      <x:c r="J14" s="41" t="str">
        <x:v>Only 4 / 5 / 8 station are allowed; never combine station sizes.</x:v>
      </x:c>
    </x:row>
    <x:row r="15">
      <x:c r="A15" s="41" t="str">
        <x:v>APN35</x:v>
      </x:c>
      <x:c r="B15" s="41" t="str">
        <x:v>Chest Press</x:v>
      </x:c>
      <x:c r="C15" s="41" t="str">
        <x:v>Premier</x:v>
      </x:c>
      <x:c r="D15" s="41" t="str">
        <x:v>Strength</x:v>
      </x:c>
      <x:c r="E15" s="41" t="str">
        <x:v>Strength</x:v>
      </x:c>
      <x:c r="F15" s="41" t="str">
        <x:v>Chest</x:v>
      </x:c>
      <x:c r="G15" s="41" t="str">
        <x:v>strength_chest</x:v>
      </x:c>
      <x:c r="H15" s="42" t="n">
        <x:v>6470</x:v>
      </x:c>
      <x:c r="I15" s="41" t="str">
        <x:v>Yes</x:v>
      </x:c>
      <x:c r="J15" s="41" t="str">
        <x:v>Keep the movement/area; if user selects another approved Premier series, substitute the exact product from that series.</x:v>
      </x:c>
    </x:row>
    <x:row r="16">
      <x:c r="A16" s="41" t="str">
        <x:v>APL06</x:v>
      </x:c>
      <x:c r="B16" s="41" t="str">
        <x:v>Incline Chest Press</x:v>
      </x:c>
      <x:c r="C16" s="41" t="str">
        <x:v>Premier</x:v>
      </x:c>
      <x:c r="D16" s="41" t="str">
        <x:v>Strength</x:v>
      </x:c>
      <x:c r="E16" s="41" t="str">
        <x:v>Strength</x:v>
      </x:c>
      <x:c r="F16" s="41" t="str">
        <x:v>Chest</x:v>
      </x:c>
      <x:c r="G16" s="41" t="str">
        <x:v>strength_chest</x:v>
      </x:c>
      <x:c r="H16" s="42" t="n">
        <x:v>4660</x:v>
      </x:c>
      <x:c r="I16" s="41" t="str">
        <x:v>Yes</x:v>
      </x:c>
      <x:c r="J16" s="41" t="str">
        <x:v>Keep the movement/area; if user selects another approved Premier series, substitute the exact product from that series.</x:v>
      </x:c>
    </x:row>
    <x:row r="17">
      <x:c r="A17" s="41" t="str">
        <x:v>APL45</x:v>
      </x:c>
      <x:c r="B17" s="41" t="str">
        <x:v>Commercial Plate Loaded Incline Fly</x:v>
      </x:c>
      <x:c r="C17" s="41" t="str">
        <x:v>Premier</x:v>
      </x:c>
      <x:c r="D17" s="41" t="str">
        <x:v>Strength</x:v>
      </x:c>
      <x:c r="E17" s="41" t="str">
        <x:v>Strength</x:v>
      </x:c>
      <x:c r="F17" s="41" t="str">
        <x:v>Chest</x:v>
      </x:c>
      <x:c r="G17" s="41" t="str">
        <x:v>strength_chest</x:v>
      </x:c>
      <x:c r="H17" s="42" t="n">
        <x:v>2680</x:v>
      </x:c>
      <x:c r="I17" s="41" t="str">
        <x:v>Yes</x:v>
      </x:c>
      <x:c r="J17" s="41" t="str">
        <x:v>Keep the movement/area; if user selects another approved Premier series, substitute the exact product from that series.</x:v>
      </x:c>
    </x:row>
    <x:row r="18">
      <x:c r="A18" s="41" t="str">
        <x:v>APN16</x:v>
      </x:c>
      <x:c r="B18" s="41" t="str">
        <x:v>Shoulder Press</x:v>
      </x:c>
      <x:c r="C18" s="41" t="str">
        <x:v>Premier</x:v>
      </x:c>
      <x:c r="D18" s="41" t="str">
        <x:v>Strength</x:v>
      </x:c>
      <x:c r="E18" s="41" t="str">
        <x:v>Strength</x:v>
      </x:c>
      <x:c r="F18" s="41" t="str">
        <x:v>Shoulder</x:v>
      </x:c>
      <x:c r="G18" s="41" t="str">
        <x:v>strength_shoulder</x:v>
      </x:c>
      <x:c r="H18" s="42" t="n">
        <x:v>6140</x:v>
      </x:c>
      <x:c r="I18" s="41" t="str">
        <x:v>Yes</x:v>
      </x:c>
      <x:c r="J18" s="41" t="str">
        <x:v>Keep the movement/area; if user selects another approved Premier series, substitute the exact product from that series.</x:v>
      </x:c>
    </x:row>
    <x:row r="19">
      <x:c r="A19" s="41" t="str">
        <x:v>APN24</x:v>
      </x:c>
      <x:c r="B19" s="41" t="str">
        <x:v>Lateral Raise</x:v>
      </x:c>
      <x:c r="C19" s="41" t="str">
        <x:v>Premier</x:v>
      </x:c>
      <x:c r="D19" s="41" t="str">
        <x:v>Strength</x:v>
      </x:c>
      <x:c r="E19" s="41" t="str">
        <x:v>Strength</x:v>
      </x:c>
      <x:c r="F19" s="41" t="str">
        <x:v>Shoulder</x:v>
      </x:c>
      <x:c r="G19" s="41" t="str">
        <x:v>strength_shoulder</x:v>
      </x:c>
      <x:c r="H19" s="42" t="n">
        <x:v>6140</x:v>
      </x:c>
      <x:c r="I19" s="41" t="str">
        <x:v>Yes</x:v>
      </x:c>
      <x:c r="J19" s="41" t="str">
        <x:v>Keep the movement/area; if user selects another approved Premier series, substitute the exact product from that series.</x:v>
      </x:c>
    </x:row>
    <x:row r="20">
      <x:c r="A20" s="41" t="str">
        <x:v>APN17</x:v>
      </x:c>
      <x:c r="B20" s="41" t="str">
        <x:v>Lat Pulldown</x:v>
      </x:c>
      <x:c r="C20" s="41" t="str">
        <x:v>Premier</x:v>
      </x:c>
      <x:c r="D20" s="41" t="str">
        <x:v>Strength</x:v>
      </x:c>
      <x:c r="E20" s="41" t="str">
        <x:v>Strength</x:v>
      </x:c>
      <x:c r="F20" s="41" t="str">
        <x:v>Back</x:v>
      </x:c>
      <x:c r="G20" s="41" t="str">
        <x:v>strength_back</x:v>
      </x:c>
      <x:c r="H20" s="42" t="n">
        <x:v>6140</x:v>
      </x:c>
      <x:c r="I20" s="41" t="str">
        <x:v>Yes</x:v>
      </x:c>
      <x:c r="J20" s="41" t="str">
        <x:v>Keep the movement/area; if user selects another approved Premier series, substitute the exact product from that series.</x:v>
      </x:c>
    </x:row>
    <x:row r="21">
      <x:c r="A21" s="41" t="str">
        <x:v>APN15</x:v>
      </x:c>
      <x:c r="B21" s="41" t="str">
        <x:v>Seated Row</x:v>
      </x:c>
      <x:c r="C21" s="41" t="str">
        <x:v>Premier</x:v>
      </x:c>
      <x:c r="D21" s="41" t="str">
        <x:v>Strength</x:v>
      </x:c>
      <x:c r="E21" s="41" t="str">
        <x:v>Strength</x:v>
      </x:c>
      <x:c r="F21" s="41" t="str">
        <x:v>Back</x:v>
      </x:c>
      <x:c r="G21" s="41" t="str">
        <x:v>strength_back</x:v>
      </x:c>
      <x:c r="H21" s="42" t="n">
        <x:v>6140</x:v>
      </x:c>
      <x:c r="I21" s="41" t="str">
        <x:v>Yes</x:v>
      </x:c>
      <x:c r="J21" s="41" t="str">
        <x:v>Keep the movement/area; if user selects another approved Premier series, substitute the exact product from that series.</x:v>
      </x:c>
    </x:row>
    <x:row r="22">
      <x:c r="A22" s="41" t="str">
        <x:v>APL11</x:v>
      </x:c>
      <x:c r="B22" s="41" t="str">
        <x:v>Low Row</x:v>
      </x:c>
      <x:c r="C22" s="41" t="str">
        <x:v>Premier</x:v>
      </x:c>
      <x:c r="D22" s="41" t="str">
        <x:v>Strength</x:v>
      </x:c>
      <x:c r="E22" s="41" t="str">
        <x:v>Strength</x:v>
      </x:c>
      <x:c r="F22" s="41" t="str">
        <x:v>Back</x:v>
      </x:c>
      <x:c r="G22" s="41" t="str">
        <x:v>strength_back</x:v>
      </x:c>
      <x:c r="H22" s="42" t="n">
        <x:v>4660</x:v>
      </x:c>
      <x:c r="I22" s="41" t="str">
        <x:v>Yes</x:v>
      </x:c>
      <x:c r="J22" s="41" t="str">
        <x:v>Keep the movement/area; if user selects another approved Premier series, substitute the exact product from that series.</x:v>
      </x:c>
    </x:row>
    <x:row r="23">
      <x:c r="A23" s="41" t="str">
        <x:v>APL34</x:v>
      </x:c>
      <x:c r="B23" s="41" t="str">
        <x:v>Incline T-Bar Row With Adj Handle</x:v>
      </x:c>
      <x:c r="C23" s="41" t="str">
        <x:v>Premier</x:v>
      </x:c>
      <x:c r="D23" s="41" t="str">
        <x:v>Strength</x:v>
      </x:c>
      <x:c r="E23" s="41" t="str">
        <x:v>Strength</x:v>
      </x:c>
      <x:c r="F23" s="41" t="str">
        <x:v>Back</x:v>
      </x:c>
      <x:c r="G23" s="41" t="str">
        <x:v>strength_back</x:v>
      </x:c>
      <x:c r="H23" s="42" t="n">
        <x:v>3500</x:v>
      </x:c>
      <x:c r="I23" s="41" t="str">
        <x:v>Yes</x:v>
      </x:c>
      <x:c r="J23" s="41" t="str">
        <x:v>Keep the movement/area; if user selects another approved Premier series, substitute the exact product from that series.</x:v>
      </x:c>
    </x:row>
    <x:row r="24">
      <x:c r="A24" s="41" t="str">
        <x:v>APN18</x:v>
      </x:c>
      <x:c r="B24" s="41" t="str">
        <x:v>Biceps Curl</x:v>
      </x:c>
      <x:c r="C24" s="41" t="str">
        <x:v>Premier</x:v>
      </x:c>
      <x:c r="D24" s="41" t="str">
        <x:v>Strength</x:v>
      </x:c>
      <x:c r="E24" s="41" t="str">
        <x:v>Strength</x:v>
      </x:c>
      <x:c r="F24" s="41" t="str">
        <x:v>Arms</x:v>
      </x:c>
      <x:c r="G24" s="41" t="str">
        <x:v>strength_arms</x:v>
      </x:c>
      <x:c r="H24" s="42" t="n">
        <x:v>6140</x:v>
      </x:c>
      <x:c r="I24" s="41" t="str">
        <x:v>Yes</x:v>
      </x:c>
      <x:c r="J24" s="41" t="str">
        <x:v>Keep the movement/area; if user selects another approved Premier series, substitute the exact product from that series.</x:v>
      </x:c>
    </x:row>
    <x:row r="25">
      <x:c r="A25" s="41" t="str">
        <x:v>APN19</x:v>
      </x:c>
      <x:c r="B25" s="41" t="str">
        <x:v>Triceps Extension</x:v>
      </x:c>
      <x:c r="C25" s="41" t="str">
        <x:v>Premier</x:v>
      </x:c>
      <x:c r="D25" s="41" t="str">
        <x:v>Strength</x:v>
      </x:c>
      <x:c r="E25" s="41" t="str">
        <x:v>Strength</x:v>
      </x:c>
      <x:c r="F25" s="41" t="str">
        <x:v>Arms</x:v>
      </x:c>
      <x:c r="G25" s="41" t="str">
        <x:v>strength_arms</x:v>
      </x:c>
      <x:c r="H25" s="42" t="n">
        <x:v>6140</x:v>
      </x:c>
      <x:c r="I25" s="41" t="str">
        <x:v>Yes</x:v>
      </x:c>
      <x:c r="J25" s="41" t="str">
        <x:v>Keep the movement/area; if user selects another approved Premier series, substitute the exact product from that series.</x:v>
      </x:c>
    </x:row>
    <x:row r="26">
      <x:c r="A26" s="41" t="str">
        <x:v>APN30</x:v>
      </x:c>
      <x:c r="B26" s="41" t="str">
        <x:v>Total Abdominal</x:v>
      </x:c>
      <x:c r="C26" s="41" t="str">
        <x:v>Premier</x:v>
      </x:c>
      <x:c r="D26" s="41" t="str">
        <x:v>Strength</x:v>
      </x:c>
      <x:c r="E26" s="41" t="str">
        <x:v>Strength</x:v>
      </x:c>
      <x:c r="F26" s="41" t="str">
        <x:v>Core / Abs</x:v>
      </x:c>
      <x:c r="G26" s="41" t="str">
        <x:v>strength_core_abs</x:v>
      </x:c>
      <x:c r="H26" s="42" t="n">
        <x:v>6140</x:v>
      </x:c>
      <x:c r="I26" s="41" t="str">
        <x:v>Yes</x:v>
      </x:c>
      <x:c r="J26" s="41" t="str">
        <x:v>Keep the movement/area; if user selects another approved Premier series, substitute the exact product from that series.</x:v>
      </x:c>
    </x:row>
    <x:row r="27">
      <x:c r="A27" s="41" t="str">
        <x:v>APN43</x:v>
      </x:c>
      <x:c r="B27" s="41" t="str">
        <x:v>Rotary Torso</x:v>
      </x:c>
      <x:c r="C27" s="41" t="str">
        <x:v>Premier</x:v>
      </x:c>
      <x:c r="D27" s="41" t="str">
        <x:v>Strength</x:v>
      </x:c>
      <x:c r="E27" s="41" t="str">
        <x:v>Strength</x:v>
      </x:c>
      <x:c r="F27" s="41" t="str">
        <x:v>Core / Abs</x:v>
      </x:c>
      <x:c r="G27" s="41" t="str">
        <x:v>strength_core_abs</x:v>
      </x:c>
      <x:c r="H27" s="42" t="n">
        <x:v>6140</x:v>
      </x:c>
      <x:c r="I27" s="41" t="str">
        <x:v>Yes</x:v>
      </x:c>
      <x:c r="J27" s="41" t="str">
        <x:v>Keep the movement/area; if user selects another approved Premier series, substitute the exact product from that series.</x:v>
      </x:c>
    </x:row>
    <x:row r="28">
      <x:c r="A28" s="41" t="str">
        <x:v>APN08</x:v>
      </x:c>
      <x:c r="B28" s="41" t="str">
        <x:v>Leg Press/Calf</x:v>
      </x:c>
      <x:c r="C28" s="41" t="str">
        <x:v>Premier</x:v>
      </x:c>
      <x:c r="D28" s="41" t="str">
        <x:v>Strength</x:v>
      </x:c>
      <x:c r="E28" s="41" t="str">
        <x:v>Strength</x:v>
      </x:c>
      <x:c r="F28" s="41" t="str">
        <x:v>Legs</x:v>
      </x:c>
      <x:c r="G28" s="41" t="str">
        <x:v>strength_legs</x:v>
      </x:c>
      <x:c r="H28" s="42" t="n">
        <x:v>6470</x:v>
      </x:c>
      <x:c r="I28" s="41" t="str">
        <x:v>Yes</x:v>
      </x:c>
      <x:c r="J28" s="41" t="str">
        <x:v>Keep the movement/area; if user selects another approved Premier series, substitute the exact product from that series.</x:v>
      </x:c>
    </x:row>
    <x:row r="29">
      <x:c r="A29" s="41" t="str">
        <x:v>APN20</x:v>
      </x:c>
      <x:c r="B29" s="41" t="str">
        <x:v>Leg Extension</x:v>
      </x:c>
      <x:c r="C29" s="41" t="str">
        <x:v>Premier</x:v>
      </x:c>
      <x:c r="D29" s="41" t="str">
        <x:v>Strength</x:v>
      </x:c>
      <x:c r="E29" s="41" t="str">
        <x:v>Strength</x:v>
      </x:c>
      <x:c r="F29" s="41" t="str">
        <x:v>Legs</x:v>
      </x:c>
      <x:c r="G29" s="41" t="str">
        <x:v>strength_legs</x:v>
      </x:c>
      <x:c r="H29" s="42" t="n">
        <x:v>6140</x:v>
      </x:c>
      <x:c r="I29" s="41" t="str">
        <x:v>Yes</x:v>
      </x:c>
      <x:c r="J29" s="41" t="str">
        <x:v>Keep the movement/area; if user selects another approved Premier series, substitute the exact product from that series.</x:v>
      </x:c>
    </x:row>
    <x:row r="30">
      <x:c r="A30" s="41" t="str">
        <x:v>APN21</x:v>
      </x:c>
      <x:c r="B30" s="41" t="str">
        <x:v>Prone Leg Curl</x:v>
      </x:c>
      <x:c r="C30" s="41" t="str">
        <x:v>Premier</x:v>
      </x:c>
      <x:c r="D30" s="41" t="str">
        <x:v>Strength</x:v>
      </x:c>
      <x:c r="E30" s="41" t="str">
        <x:v>Strength</x:v>
      </x:c>
      <x:c r="F30" s="41" t="str">
        <x:v>Legs</x:v>
      </x:c>
      <x:c r="G30" s="41" t="str">
        <x:v>strength_legs</x:v>
      </x:c>
      <x:c r="H30" s="42" t="n">
        <x:v>6140</x:v>
      </x:c>
      <x:c r="I30" s="41" t="str">
        <x:v>Yes</x:v>
      </x:c>
      <x:c r="J30" s="41" t="str">
        <x:v>Keep the movement/area; if user selects another approved Premier series, substitute the exact product from that series.</x:v>
      </x:c>
    </x:row>
    <x:row r="31">
      <x:c r="A31" s="41" t="str">
        <x:v>APL43</x:v>
      </x:c>
      <x:c r="B31" s="41" t="str">
        <x:v>Hack Squat</x:v>
      </x:c>
      <x:c r="C31" s="41" t="str">
        <x:v>Premier</x:v>
      </x:c>
      <x:c r="D31" s="41" t="str">
        <x:v>Strength</x:v>
      </x:c>
      <x:c r="E31" s="41" t="str">
        <x:v>Strength</x:v>
      </x:c>
      <x:c r="F31" s="41" t="str">
        <x:v>Legs</x:v>
      </x:c>
      <x:c r="G31" s="41" t="str">
        <x:v>strength_legs</x:v>
      </x:c>
      <x:c r="H31" s="42" t="n">
        <x:v>6410</x:v>
      </x:c>
      <x:c r="I31" s="41" t="str">
        <x:v>Yes</x:v>
      </x:c>
      <x:c r="J31" s="41" t="str">
        <x:v>Keep the movement/area; if user selects another approved Premier series, substitute the exact product from that series.</x:v>
      </x:c>
    </x:row>
    <x:row r="32">
      <x:c r="A32" s="41" t="str">
        <x:v>APN01</x:v>
      </x:c>
      <x:c r="B32" s="41" t="str">
        <x:v>Adductor / Abductor</x:v>
      </x:c>
      <x:c r="C32" s="41" t="str">
        <x:v>Premier</x:v>
      </x:c>
      <x:c r="D32" s="41" t="str">
        <x:v>Strength</x:v>
      </x:c>
      <x:c r="E32" s="41" t="str">
        <x:v>Strength</x:v>
      </x:c>
      <x:c r="F32" s="41" t="str">
        <x:v>Glutes</x:v>
      </x:c>
      <x:c r="G32" s="41" t="str">
        <x:v>strength_glutes</x:v>
      </x:c>
      <x:c r="H32" s="42" t="n">
        <x:v>6140</x:v>
      </x:c>
      <x:c r="I32" s="41" t="str">
        <x:v>Yes</x:v>
      </x:c>
      <x:c r="J32" s="41" t="str">
        <x:v>Keep the movement/area; if user selects another approved Premier series, substitute the exact product from that series.</x:v>
      </x:c>
    </x:row>
    <x:row r="33">
      <x:c r="A33" s="41" t="str">
        <x:v>TQL73</x:v>
      </x:c>
      <x:c r="B33" s="41" t="str">
        <x:v>Adjustable Bench</x:v>
      </x:c>
      <x:c r="C33" s="41" t="str">
        <x:v>Premier</x:v>
      </x:c>
      <x:c r="D33" s="41" t="str">
        <x:v>Strength</x:v>
      </x:c>
      <x:c r="E33" s="41" t="str">
        <x:v>Benches</x:v>
      </x:c>
      <x:c r="F33" s="41" t="str">
        <x:v>Adjustable Bench</x:v>
      </x:c>
      <x:c r="G33" s="41" t="str">
        <x:v>benches_adjustable_bench</x:v>
      </x:c>
      <x:c r="H33" s="42" t="n">
        <x:v>1810</x:v>
      </x:c>
      <x:c r="I33" s="41" t="str">
        <x:v>Yes</x:v>
      </x:c>
      <x:c r="J33" s="41" t="str">
        <x:v>Bench quantity scales with gym capacity.</x:v>
      </x:c>
    </x:row>
    <x:row r="34">
      <x:c r="A34" s="41" t="str">
        <x:v>TQL69</x:v>
      </x:c>
      <x:c r="B34" s="41" t="str">
        <x:v>Flat Bench</x:v>
      </x:c>
      <x:c r="C34" s="41" t="str">
        <x:v>Premier</x:v>
      </x:c>
      <x:c r="D34" s="41" t="str">
        <x:v>Strength</x:v>
      </x:c>
      <x:c r="E34" s="41" t="str">
        <x:v>Benches</x:v>
      </x:c>
      <x:c r="F34" s="41" t="str">
        <x:v>Flat Bench</x:v>
      </x:c>
      <x:c r="G34" s="41" t="str">
        <x:v>benches_flat_bench</x:v>
      </x:c>
      <x:c r="H34" s="42" t="n">
        <x:v>960</x:v>
      </x:c>
      <x:c r="I34" s="41" t="str">
        <x:v>Yes</x:v>
      </x:c>
      <x:c r="J34" s="41" t="str">
        <x:v>Bench quantity scales with gym capacity.</x:v>
      </x:c>
    </x:row>
    <x:row r="35">
      <x:c r="A35" s="41" t="str">
        <x:v>TQL75</x:v>
      </x:c>
      <x:c r="B35" s="41" t="str">
        <x:v>Adjustable Abdominal Bench</x:v>
      </x:c>
      <x:c r="C35" s="41" t="str">
        <x:v>Premier</x:v>
      </x:c>
      <x:c r="D35" s="41" t="str">
        <x:v>Strength</x:v>
      </x:c>
      <x:c r="E35" s="41" t="str">
        <x:v>Benches</x:v>
      </x:c>
      <x:c r="F35" s="41" t="str">
        <x:v>Adjustable Crunch Bench</x:v>
      </x:c>
      <x:c r="G35" s="41" t="str">
        <x:v>benches_adjustable_crunch_bench</x:v>
      </x:c>
      <x:c r="H35" s="42" t="n">
        <x:v>1810</x:v>
      </x:c>
      <x:c r="I35" s="41" t="str">
        <x:v>Yes</x:v>
      </x:c>
      <x:c r="J35" s="41" t="str">
        <x:v>Bench quantity scales with gym capacity.</x:v>
      </x:c>
    </x:row>
    <x:row r="36">
      <x:c r="A36" s="41" t="str">
        <x:v>TQL48</x:v>
      </x:c>
      <x:c r="B36" s="41" t="str">
        <x:v>Roman Chair (Hyper/Back Extension)</x:v>
      </x:c>
      <x:c r="C36" s="41" t="str">
        <x:v>Premier</x:v>
      </x:c>
      <x:c r="D36" s="41" t="str">
        <x:v>Strength</x:v>
      </x:c>
      <x:c r="E36" s="41" t="str">
        <x:v>Benches</x:v>
      </x:c>
      <x:c r="F36" s="41" t="str">
        <x:v>Lower Back Bench</x:v>
      </x:c>
      <x:c r="G36" s="41" t="str">
        <x:v>benches_lower_back_bench</x:v>
      </x:c>
      <x:c r="H36" s="42" t="n">
        <x:v>2090</x:v>
      </x:c>
      <x:c r="I36" s="41" t="str">
        <x:v>Yes</x:v>
      </x:c>
      <x:c r="J36" s="41" t="str">
        <x:v>Bench quantity scales with gym capacity.</x:v>
      </x:c>
    </x:row>
    <x:row r="37">
      <x:c r="A37" s="41" t="str">
        <x:v>TQL63</x:v>
      </x:c>
      <x:c r="B37" s="41" t="str">
        <x:v>Flat Olympic Bench</x:v>
      </x:c>
      <x:c r="C37" s="41" t="str">
        <x:v>Premier</x:v>
      </x:c>
      <x:c r="D37" s="41" t="str">
        <x:v>Strength</x:v>
      </x:c>
      <x:c r="E37" s="41" t="str">
        <x:v>Benches</x:v>
      </x:c>
      <x:c r="F37" s="41" t="str">
        <x:v>Olympic Flat Bench</x:v>
      </x:c>
      <x:c r="G37" s="41" t="str">
        <x:v>benches_olympic_flat_bench</x:v>
      </x:c>
      <x:c r="H37" s="42" t="n">
        <x:v>2430</x:v>
      </x:c>
      <x:c r="I37" s="41" t="str">
        <x:v>Yes</x:v>
      </x:c>
      <x:c r="J37" s="41" t="str">
        <x:v>Bench quantity scales with gym capacity.</x:v>
      </x:c>
    </x:row>
    <x:row r="38">
      <x:c r="A38" s="41" t="str">
        <x:v>TQL64</x:v>
      </x:c>
      <x:c r="B38" s="41" t="str">
        <x:v>Incline Olympic Bench</x:v>
      </x:c>
      <x:c r="C38" s="41" t="str">
        <x:v>Premier</x:v>
      </x:c>
      <x:c r="D38" s="41" t="str">
        <x:v>Strength</x:v>
      </x:c>
      <x:c r="E38" s="41" t="str">
        <x:v>Benches</x:v>
      </x:c>
      <x:c r="F38" s="41" t="str">
        <x:v>Olympic Incline Bench</x:v>
      </x:c>
      <x:c r="G38" s="41" t="str">
        <x:v>benches_olympic_incline_bench</x:v>
      </x:c>
      <x:c r="H38" s="42" t="n">
        <x:v>2430</x:v>
      </x:c>
      <x:c r="I38" s="41" t="str">
        <x:v>Yes</x:v>
      </x:c>
      <x:c r="J38" s="41" t="str">
        <x:v>Bench quantity scales with gym capacity.</x:v>
      </x:c>
    </x:row>
    <x:row r="39">
      <x:c r="A39" s="41" t="str">
        <x:v>PM1012-50</x:v>
      </x:c>
      <x:c r="B39" s="41" t="str">
        <x:v>Rubber Dumbbell Set - 2.5kg–50 kg</x:v>
      </x:c>
      <x:c r="C39" s="41" t="str">
        <x:v>Premier</x:v>
      </x:c>
      <x:c r="D39" s="41" t="str">
        <x:v>Weights</x:v>
      </x:c>
      <x:c r="E39" s="41" t="str">
        <x:v>Free Weights</x:v>
      </x:c>
      <x:c r="F39" s="41" t="str">
        <x:v>Dumbbell Full Set 2.5–50kg</x:v>
      </x:c>
      <x:c r="G39" s="41" t="str">
        <x:v>free_weights_dumbbell_full_set_2_5_50kg</x:v>
      </x:c>
      <x:c r="H39" s="42" t="n">
        <x:v>13800</x:v>
      </x:c>
      <x:c r="I39" s="41" t="str">
        <x:v>Yes</x:v>
      </x:c>
      <x:c r="J39" s="41" t="str">
        <x:v>Full set requires exactly 2 matching dumbbell racks.</x:v>
      </x:c>
    </x:row>
    <x:row r="40">
      <x:c r="A40" s="41" t="str">
        <x:v>PM0011C</x:v>
      </x:c>
      <x:c r="B40" s="41" t="str">
        <x:v>Dumbbell Rack</x:v>
      </x:c>
      <x:c r="C40" s="41" t="str">
        <x:v>Premier</x:v>
      </x:c>
      <x:c r="D40" s="41" t="str">
        <x:v>Accessories</x:v>
      </x:c>
      <x:c r="E40" s="41" t="str">
        <x:v>Free Weights</x:v>
      </x:c>
      <x:c r="F40" s="41" t="str">
        <x:v>Dumbbell Rack</x:v>
      </x:c>
      <x:c r="G40" s="41" t="str">
        <x:v>free_weights_dumbbell_rack</x:v>
      </x:c>
      <x:c r="H40" s="42" t="n">
        <x:v>1400</x:v>
      </x:c>
      <x:c r="I40" s="41" t="str">
        <x:v>Yes</x:v>
      </x:c>
      <x:c r="J40" s="41" t="str">
        <x:v>2 racks per full set; 1 rack per half set.</x:v>
      </x:c>
    </x:row>
    <x:row r="41">
      <x:c r="A41" s="41" t="str">
        <x:v>PM2030C</x:v>
      </x:c>
      <x:c r="B41" s="41" t="str">
        <x:v>TPU Weight Plate - 2.5 kg</x:v>
      </x:c>
      <x:c r="C41" s="41" t="str">
        <x:v>Premier</x:v>
      </x:c>
      <x:c r="D41" s="41" t="str">
        <x:v>Weights</x:v>
      </x:c>
      <x:c r="E41" s="41" t="str">
        <x:v>Free Weights</x:v>
      </x:c>
      <x:c r="F41" s="41" t="str">
        <x:v>TPU Weight Plate 2.5kg</x:v>
      </x:c>
      <x:c r="G41" s="41" t="str">
        <x:v>free_weights_tpu_weight_plate_2_5kg</x:v>
      </x:c>
      <x:c r="H41" s="42" t="n">
        <x:v>40</x:v>
      </x:c>
      <x:c r="I41" s="41" t="str">
        <x:v>Yes</x:v>
      </x:c>
      <x:c r="J41" s="41" t="str">
        <x:v>20 pcs each size. One complete family only; never mix plate families.</x:v>
      </x:c>
    </x:row>
    <x:row r="42">
      <x:c r="A42" s="41" t="str">
        <x:v>PM2030C-5</x:v>
      </x:c>
      <x:c r="B42" s="41" t="str">
        <x:v>TPU Weight Plate - 5 kg</x:v>
      </x:c>
      <x:c r="C42" s="41" t="str">
        <x:v>Premier</x:v>
      </x:c>
      <x:c r="D42" s="41" t="str">
        <x:v>Weights</x:v>
      </x:c>
      <x:c r="E42" s="41" t="str">
        <x:v>Free Weights</x:v>
      </x:c>
      <x:c r="F42" s="41" t="str">
        <x:v>TPU Weight Plate 5kg</x:v>
      </x:c>
      <x:c r="G42" s="41" t="str">
        <x:v>free_weights_tpu_weight_plate_5kg</x:v>
      </x:c>
      <x:c r="H42" s="42" t="n">
        <x:v>80</x:v>
      </x:c>
      <x:c r="I42" s="41" t="str">
        <x:v>Yes</x:v>
      </x:c>
      <x:c r="J42" s="41" t="str">
        <x:v>20 pcs each size. One complete family only; never mix plate families.</x:v>
      </x:c>
    </x:row>
    <x:row r="43">
      <x:c r="A43" s="41" t="str">
        <x:v>PM2030C-10</x:v>
      </x:c>
      <x:c r="B43" s="41" t="str">
        <x:v>TPU Weight Plate - 10 kg</x:v>
      </x:c>
      <x:c r="C43" s="41" t="str">
        <x:v>Premier</x:v>
      </x:c>
      <x:c r="D43" s="41" t="str">
        <x:v>Weights</x:v>
      </x:c>
      <x:c r="E43" s="41" t="str">
        <x:v>Free Weights</x:v>
      </x:c>
      <x:c r="F43" s="41" t="str">
        <x:v>TPU Weight Plate 10kg</x:v>
      </x:c>
      <x:c r="G43" s="41" t="str">
        <x:v>free_weights_tpu_weight_plate_10kg</x:v>
      </x:c>
      <x:c r="H43" s="42" t="n">
        <x:v>160</x:v>
      </x:c>
      <x:c r="I43" s="41" t="str">
        <x:v>Yes</x:v>
      </x:c>
      <x:c r="J43" s="41" t="str">
        <x:v>20 pcs each size. One complete family only; never mix plate families.</x:v>
      </x:c>
    </x:row>
    <x:row r="44">
      <x:c r="A44" s="41" t="str">
        <x:v>PM2030C-20</x:v>
      </x:c>
      <x:c r="B44" s="41" t="str">
        <x:v>TPU Weight Plate - 20 kg</x:v>
      </x:c>
      <x:c r="C44" s="41" t="str">
        <x:v>Premier</x:v>
      </x:c>
      <x:c r="D44" s="41" t="str">
        <x:v>Weights</x:v>
      </x:c>
      <x:c r="E44" s="41" t="str">
        <x:v>Free Weights</x:v>
      </x:c>
      <x:c r="F44" s="41" t="str">
        <x:v>TPU Weight Plate 20kg</x:v>
      </x:c>
      <x:c r="G44" s="41" t="str">
        <x:v>free_weights_tpu_weight_plate_20kg</x:v>
      </x:c>
      <x:c r="H44" s="42" t="n">
        <x:v>320</x:v>
      </x:c>
      <x:c r="I44" s="41" t="str">
        <x:v>Yes</x:v>
      </x:c>
      <x:c r="J44" s="41" t="str">
        <x:v>20 pcs each size. One complete family only; never mix plate families.</x:v>
      </x:c>
    </x:row>
    <x:row r="45">
      <x:c r="A45" s="41" t="str">
        <x:v>PM3015-250</x:v>
      </x:c>
      <x:c r="B45" s="41" t="str">
        <x:v>Rubber Coated Barbell Set - (250 kg)</x:v>
      </x:c>
      <x:c r="C45" s="41" t="str">
        <x:v>Premier</x:v>
      </x:c>
      <x:c r="D45" s="41" t="str">
        <x:v>Weights</x:v>
      </x:c>
      <x:c r="E45" s="41" t="str">
        <x:v>Free Weights</x:v>
      </x:c>
      <x:c r="F45" s="41" t="str">
        <x:v>Barbell Set</x:v>
      </x:c>
      <x:c r="G45" s="41" t="str">
        <x:v>free_weights_barbell_set</x:v>
      </x:c>
      <x:c r="H45" s="42" t="n">
        <x:v>3750</x:v>
      </x:c>
      <x:c r="I45" s="41" t="str">
        <x:v>Review</x:v>
      </x:c>
      <x:c r="J45" s="41" t="str">
        <x:v>No Burnsport barbell set exists in the uploaded product list. Premier set is used as shared fallback; approval required before fully automatic use.</x:v>
      </x:c>
    </x:row>
    <x:row r="46">
      <x:c r="A46" s="41" t="str">
        <x:v>PM0041</x:v>
      </x:c>
      <x:c r="B46" s="41" t="str">
        <x:v>Barbell Rack</x:v>
      </x:c>
      <x:c r="C46" s="41" t="str">
        <x:v>Premier</x:v>
      </x:c>
      <x:c r="D46" s="41" t="str">
        <x:v>Weights</x:v>
      </x:c>
      <x:c r="E46" s="41" t="str">
        <x:v>Free Weights</x:v>
      </x:c>
      <x:c r="F46" s="41" t="str">
        <x:v>Barbell Rack</x:v>
      </x:c>
      <x:c r="G46" s="41" t="str">
        <x:v>free_weights_barbell_rack</x:v>
      </x:c>
      <x:c r="H46" s="42" t="n">
        <x:v>1200</x:v>
      </x:c>
      <x:c r="I46" s="41" t="str">
        <x:v>Yes</x:v>
      </x:c>
      <x:c r="J46" s="41" t="str">
        <x:v>Rack brand follows the gym brand; 1 rack per barbell set.</x:v>
      </x:c>
    </x:row>
    <x:row r="47">
      <x:c r="A47" s="41" t="str">
        <x:v>APL38</x:v>
      </x:c>
      <x:c r="B47" s="41" t="str">
        <x:v>Shoulder Press</x:v>
      </x:c>
      <x:c r="C47" s="41" t="str">
        <x:v>Premier</x:v>
      </x:c>
      <x:c r="D47" s="41" t="str">
        <x:v>Strength</x:v>
      </x:c>
      <x:c r="E47" s="41" t="str">
        <x:v>Strength</x:v>
      </x:c>
      <x:c r="F47" s="41" t="str">
        <x:v>Shoulder</x:v>
      </x:c>
      <x:c r="G47" s="41" t="str">
        <x:v>strength_shoulder</x:v>
      </x:c>
      <x:c r="H47" s="42" t="n">
        <x:v>4210</x:v>
      </x:c>
      <x:c r="I47" s="41" t="str">
        <x:v>Yes</x:v>
      </x:c>
      <x:c r="J47" s="41" t="str">
        <x:v>Keep the movement/area; if user selects another approved Premier series, substitute the exact product from that series.</x:v>
      </x:c>
    </x:row>
    <x:row r="48">
      <x:c r="A48" s="41" t="str">
        <x:v>APN07</x:v>
      </x:c>
      <x:c r="B48" s="41" t="str">
        <x:v>Biceps / Triceps Curl</x:v>
      </x:c>
      <x:c r="C48" s="41" t="str">
        <x:v>Premier</x:v>
      </x:c>
      <x:c r="D48" s="41" t="str">
        <x:v>Strength</x:v>
      </x:c>
      <x:c r="E48" s="41" t="str">
        <x:v>Strength</x:v>
      </x:c>
      <x:c r="F48" s="41" t="str">
        <x:v>Arms</x:v>
      </x:c>
      <x:c r="G48" s="41" t="str">
        <x:v>strength_arms</x:v>
      </x:c>
      <x:c r="H48" s="42" t="n">
        <x:v>6140</x:v>
      </x:c>
      <x:c r="I48" s="41" t="str">
        <x:v>Yes</x:v>
      </x:c>
      <x:c r="J48" s="41" t="str">
        <x:v>Keep the movement/area; if user selects another approved Premier series, substitute the exact product from that series.</x:v>
      </x:c>
    </x:row>
    <x:row r="49">
      <x:c r="A49" s="41" t="str">
        <x:v>APL54</x:v>
      </x:c>
      <x:c r="B49" s="41" t="str">
        <x:v>Seated Calf Raise</x:v>
      </x:c>
      <x:c r="C49" s="41" t="str">
        <x:v>Premier</x:v>
      </x:c>
      <x:c r="D49" s="41" t="str">
        <x:v>Strength</x:v>
      </x:c>
      <x:c r="E49" s="41" t="str">
        <x:v>Strength</x:v>
      </x:c>
      <x:c r="F49" s="41" t="str">
        <x:v>Legs</x:v>
      </x:c>
      <x:c r="G49" s="41" t="str">
        <x:v>strength_legs</x:v>
      </x:c>
      <x:c r="H49" s="42" t="n">
        <x:v>2140</x:v>
      </x:c>
      <x:c r="I49" s="41" t="str">
        <x:v>Yes</x:v>
      </x:c>
      <x:c r="J49" s="41" t="str">
        <x:v>Keep the movement/area; if user selects another approved Premier series, substitute the exact product from that series.</x:v>
      </x:c>
    </x:row>
    <x:row r="50">
      <x:c r="A50" s="41" t="str">
        <x:v>APN31</x:v>
      </x:c>
      <x:c r="B50" s="41" t="str">
        <x:v>Ultimate Pin Loaded Hip Thrust</x:v>
      </x:c>
      <x:c r="C50" s="41" t="str">
        <x:v>Premier</x:v>
      </x:c>
      <x:c r="D50" s="41" t="str">
        <x:v>Strength</x:v>
      </x:c>
      <x:c r="E50" s="41" t="str">
        <x:v>Strength</x:v>
      </x:c>
      <x:c r="F50" s="41" t="str">
        <x:v>Glutes</x:v>
      </x:c>
      <x:c r="G50" s="41" t="str">
        <x:v>strength_glutes</x:v>
      </x:c>
      <x:c r="H50" s="42" t="n">
        <x:v>6840</x:v>
      </x:c>
      <x:c r="I50" s="41" t="str">
        <x:v>Yes</x:v>
      </x:c>
      <x:c r="J50" s="41" t="str">
        <x:v>Keep the movement/area; if user selects another approved Premier series, substitute the exact product from that series.</x:v>
      </x:c>
    </x:row>
    <x:row r="51">
      <x:c r="A51" s="41" t="str">
        <x:v>TQL65</x:v>
      </x:c>
      <x:c r="B51" s="41" t="str">
        <x:v>Olympic Decline Bench</x:v>
      </x:c>
      <x:c r="C51" s="41" t="str">
        <x:v>Premier</x:v>
      </x:c>
      <x:c r="D51" s="41" t="str">
        <x:v>Strength</x:v>
      </x:c>
      <x:c r="E51" s="41" t="str">
        <x:v>Benches</x:v>
      </x:c>
      <x:c r="F51" s="41" t="str">
        <x:v>Olympic Decline Bench</x:v>
      </x:c>
      <x:c r="G51" s="41" t="str">
        <x:v>benches_olympic_decline_bench</x:v>
      </x:c>
      <x:c r="H51" s="42" t="n">
        <x:v>2660</x:v>
      </x:c>
      <x:c r="I51" s="41" t="str">
        <x:v>Yes</x:v>
      </x:c>
      <x:c r="J51" s="41" t="str">
        <x:v>Bench quantity scales with gym capacity.</x:v>
      </x:c>
    </x:row>
    <x:row r="52">
      <x:c r="A52" s="41" t="str">
        <x:v>PM1012</x:v>
      </x:c>
      <x:c r="B52" s="41" t="str">
        <x:v>Rubber Dumbbell Set - 2.5kg–25 kg</x:v>
      </x:c>
      <x:c r="C52" s="41" t="str">
        <x:v>Premier</x:v>
      </x:c>
      <x:c r="D52" s="41" t="str">
        <x:v>Weights</x:v>
      </x:c>
      <x:c r="E52" s="41" t="str">
        <x:v>Free Weights</x:v>
      </x:c>
      <x:c r="F52" s="41" t="str">
        <x:v>Dumbbell Half Set 2.5–25kg</x:v>
      </x:c>
      <x:c r="G52" s="41" t="str">
        <x:v>free_weights_dumbbell_half_set_2_5_25kg</x:v>
      </x:c>
      <x:c r="H52" s="42" t="n">
        <x:v>4000</x:v>
      </x:c>
      <x:c r="I52" s="41" t="str">
        <x:v>Yes</x:v>
      </x:c>
      <x:c r="J52" s="41" t="str">
        <x:v>Half set requires exactly 1 additional matching rack.</x:v>
      </x:c>
    </x:row>
    <x:row r="53">
      <x:c r="A53" s="41" t="str">
        <x:v>APN40</x:v>
      </x:c>
      <x:c r="B53" s="41" t="str">
        <x:v>8 Station</x:v>
      </x:c>
      <x:c r="C53" s="41" t="str">
        <x:v>Premier</x:v>
      </x:c>
      <x:c r="D53" s="41" t="str">
        <x:v>Strength</x:v>
      </x:c>
      <x:c r="E53" s="41" t="str">
        <x:v>Functional / Multi</x:v>
      </x:c>
      <x:c r="F53" s="41" t="str">
        <x:v>8 Station</x:v>
      </x:c>
      <x:c r="G53" s="41" t="str">
        <x:v>functional_multi_8_station</x:v>
      </x:c>
      <x:c r="H53" s="42" t="n">
        <x:v>37330</x:v>
      </x:c>
      <x:c r="I53" s="41" t="str">
        <x:v>Yes</x:v>
      </x:c>
      <x:c r="J53" s="41" t="str">
        <x:v>Only 4 / 5 / 8 station are allowed; never combine station sizes.</x:v>
      </x:c>
    </x:row>
    <x:row r="54">
      <x:c r="A54" s="41" t="str">
        <x:v>APL29</x:v>
      </x:c>
      <x:c r="B54" s="41" t="str">
        <x:v>Standing Chest Press</x:v>
      </x:c>
      <x:c r="C54" s="41" t="str">
        <x:v>Premier</x:v>
      </x:c>
      <x:c r="D54" s="41" t="str">
        <x:v>Strength</x:v>
      </x:c>
      <x:c r="E54" s="41" t="str">
        <x:v>Strength</x:v>
      </x:c>
      <x:c r="F54" s="41" t="str">
        <x:v>Chest</x:v>
      </x:c>
      <x:c r="G54" s="41" t="str">
        <x:v>strength_chest</x:v>
      </x:c>
      <x:c r="H54" s="42" t="n">
        <x:v>5710</x:v>
      </x:c>
      <x:c r="I54" s="41" t="str">
        <x:v>Yes</x:v>
      </x:c>
      <x:c r="J54" s="41" t="str">
        <x:v>Keep the movement/area; if user selects another approved Premier series, substitute the exact product from that series.</x:v>
      </x:c>
    </x:row>
    <x:row r="55">
      <x:c r="A55" s="41" t="str">
        <x:v>APL05</x:v>
      </x:c>
      <x:c r="B55" s="41" t="str">
        <x:v>Shoulder Press</x:v>
      </x:c>
      <x:c r="C55" s="41" t="str">
        <x:v>Premier</x:v>
      </x:c>
      <x:c r="D55" s="41" t="str">
        <x:v>Strength</x:v>
      </x:c>
      <x:c r="E55" s="41" t="str">
        <x:v>Strength</x:v>
      </x:c>
      <x:c r="F55" s="41" t="str">
        <x:v>Shoulder</x:v>
      </x:c>
      <x:c r="G55" s="41" t="str">
        <x:v>strength_shoulder</x:v>
      </x:c>
      <x:c r="H55" s="42" t="n">
        <x:v>4660</x:v>
      </x:c>
      <x:c r="I55" s="41" t="str">
        <x:v>Yes</x:v>
      </x:c>
      <x:c r="J55" s="41" t="str">
        <x:v>Keep the movement/area; if user selects another approved Premier series, substitute the exact product from that series.</x:v>
      </x:c>
    </x:row>
    <x:row r="56">
      <x:c r="A56" s="41" t="str">
        <x:v>APL18</x:v>
      </x:c>
      <x:c r="B56" s="41" t="str">
        <x:v>Commercial Plate Loaded Pull Over</x:v>
      </x:c>
      <x:c r="C56" s="41" t="str">
        <x:v>Premier</x:v>
      </x:c>
      <x:c r="D56" s="41" t="str">
        <x:v>Strength</x:v>
      </x:c>
      <x:c r="E56" s="41" t="str">
        <x:v>Strength</x:v>
      </x:c>
      <x:c r="F56" s="41" t="str">
        <x:v>Back</x:v>
      </x:c>
      <x:c r="G56" s="41" t="str">
        <x:v>strength_back</x:v>
      </x:c>
      <x:c r="H56" s="42" t="n">
        <x:v>4550</x:v>
      </x:c>
      <x:c r="I56" s="41" t="str">
        <x:v>Yes</x:v>
      </x:c>
      <x:c r="J56" s="41" t="str">
        <x:v>Keep the movement/area; if user selects another approved Premier series, substitute the exact product from that series.</x:v>
      </x:c>
    </x:row>
    <x:row r="57">
      <x:c r="A57" s="41" t="str">
        <x:v>APN32</x:v>
      </x:c>
      <x:c r="B57" s="41" t="str">
        <x:v>Ultimate Back Extension</x:v>
      </x:c>
      <x:c r="C57" s="41" t="str">
        <x:v>Premier</x:v>
      </x:c>
      <x:c r="D57" s="41" t="str">
        <x:v>Strength</x:v>
      </x:c>
      <x:c r="E57" s="41" t="str">
        <x:v>Strength</x:v>
      </x:c>
      <x:c r="F57" s="41" t="str">
        <x:v>Back</x:v>
      </x:c>
      <x:c r="G57" s="41" t="str">
        <x:v>strength_back</x:v>
      </x:c>
      <x:c r="H57" s="42" t="n">
        <x:v>6140</x:v>
      </x:c>
      <x:c r="I57" s="41" t="str">
        <x:v>Yes</x:v>
      </x:c>
      <x:c r="J57" s="41" t="str">
        <x:v>Keep the movement/area; if user selects another approved Premier series, substitute the exact product from that series.</x:v>
      </x:c>
    </x:row>
    <x:row r="58">
      <x:c r="A58" s="41" t="str">
        <x:v>APN27</x:v>
      </x:c>
      <x:c r="B58" s="41" t="str">
        <x:v>Triceps Dip</x:v>
      </x:c>
      <x:c r="C58" s="41" t="str">
        <x:v>Premier</x:v>
      </x:c>
      <x:c r="D58" s="41" t="str">
        <x:v>Strength</x:v>
      </x:c>
      <x:c r="E58" s="41" t="str">
        <x:v>Strength</x:v>
      </x:c>
      <x:c r="F58" s="41" t="str">
        <x:v>Arms</x:v>
      </x:c>
      <x:c r="G58" s="41" t="str">
        <x:v>strength_arms</x:v>
      </x:c>
      <x:c r="H58" s="42" t="n">
        <x:v>6140</x:v>
      </x:c>
      <x:c r="I58" s="41" t="str">
        <x:v>Yes</x:v>
      </x:c>
      <x:c r="J58" s="41" t="str">
        <x:v>Keep the movement/area; if user selects another approved Premier series, substitute the exact product from that series.</x:v>
      </x:c>
    </x:row>
    <x:row r="59">
      <x:c r="A59" s="41" t="str">
        <x:v>APL53</x:v>
      </x:c>
      <x:c r="B59" s="41" t="str">
        <x:v>Vertical Knee Raise</x:v>
      </x:c>
      <x:c r="C59" s="41" t="str">
        <x:v>Premier</x:v>
      </x:c>
      <x:c r="D59" s="41" t="str">
        <x:v>Strength</x:v>
      </x:c>
      <x:c r="E59" s="41" t="str">
        <x:v>Strength</x:v>
      </x:c>
      <x:c r="F59" s="41" t="str">
        <x:v>Core / Abs</x:v>
      </x:c>
      <x:c r="G59" s="41" t="str">
        <x:v>strength_core_abs</x:v>
      </x:c>
      <x:c r="H59" s="42" t="n">
        <x:v>1710</x:v>
      </x:c>
      <x:c r="I59" s="41" t="str">
        <x:v>Yes</x:v>
      </x:c>
      <x:c r="J59" s="41" t="str">
        <x:v>Keep the movement/area; if user selects another approved Premier series, substitute the exact product from that series.</x:v>
      </x:c>
    </x:row>
    <x:row r="60">
      <x:c r="A60" s="41" t="str">
        <x:v>APL24</x:v>
      </x:c>
      <x:c r="B60" s="41" t="str">
        <x:v>Belt Squat Machine</x:v>
      </x:c>
      <x:c r="C60" s="41" t="str">
        <x:v>Premier</x:v>
      </x:c>
      <x:c r="D60" s="41" t="str">
        <x:v>Strength</x:v>
      </x:c>
      <x:c r="E60" s="41" t="str">
        <x:v>Strength</x:v>
      </x:c>
      <x:c r="F60" s="41" t="str">
        <x:v>Legs</x:v>
      </x:c>
      <x:c r="G60" s="41" t="str">
        <x:v>strength_legs</x:v>
      </x:c>
      <x:c r="H60" s="42" t="n">
        <x:v>4770</x:v>
      </x:c>
      <x:c r="I60" s="41" t="str">
        <x:v>Yes</x:v>
      </x:c>
      <x:c r="J60" s="41" t="str">
        <x:v>Keep the movement/area; if user selects another approved Premier series, substitute the exact product from that series.</x:v>
      </x:c>
    </x:row>
    <x:row r="61">
      <x:c r="A61" s="41" t="str">
        <x:v>APN34</x:v>
      </x:c>
      <x:c r="B61" s="41" t="str">
        <x:v>Ultimate Cable Kick Back</x:v>
      </x:c>
      <x:c r="C61" s="41" t="str">
        <x:v>Premier</x:v>
      </x:c>
      <x:c r="D61" s="41" t="str">
        <x:v>Strength</x:v>
      </x:c>
      <x:c r="E61" s="41" t="str">
        <x:v>Strength</x:v>
      </x:c>
      <x:c r="F61" s="41" t="str">
        <x:v>Glutes</x:v>
      </x:c>
      <x:c r="G61" s="41" t="str">
        <x:v>strength_glutes</x:v>
      </x:c>
      <x:c r="H61" s="42" t="n">
        <x:v>6140</x:v>
      </x:c>
      <x:c r="I61" s="41" t="str">
        <x:v>Yes</x:v>
      </x:c>
      <x:c r="J61" s="41" t="str">
        <x:v>Keep the movement/area; if user selects another approved Premier series, substitute the exact product from that series.</x:v>
      </x:c>
    </x:row>
    <x:row r="62">
      <x:c r="A62" s="41" t="str">
        <x:v>CD-001</x:v>
      </x:c>
      <x:c r="B62" s="41" t="str">
        <x:v>Commerical Treadmill</x:v>
      </x:c>
      <x:c r="C62" s="41" t="str">
        <x:v>Burnsport</x:v>
      </x:c>
      <x:c r="D62" s="41" t="str">
        <x:v>Cardio</x:v>
      </x:c>
      <x:c r="E62" s="41" t="str">
        <x:v>Cardio</x:v>
      </x:c>
      <x:c r="F62" s="41" t="str">
        <x:v>Treadmill</x:v>
      </x:c>
      <x:c r="G62" s="41" t="str">
        <x:v>cardio_treadmill</x:v>
      </x:c>
      <x:c r="H62" s="42" t="n">
        <x:v>12500</x:v>
      </x:c>
      <x:c r="I62" s="41" t="str">
        <x:v>Yes</x:v>
      </x:c>
      <x:c r="J62" s="41" t="str"/>
    </x:row>
    <x:row r="63">
      <x:c r="A63" s="41" t="str">
        <x:v>CD-002</x:v>
      </x:c>
      <x:c r="B63" s="41" t="str">
        <x:v>Elliptical Cross Trainer</x:v>
      </x:c>
      <x:c r="C63" s="41" t="str">
        <x:v>Burnsport</x:v>
      </x:c>
      <x:c r="D63" s="41" t="str">
        <x:v>Cardio</x:v>
      </x:c>
      <x:c r="E63" s="41" t="str">
        <x:v>Cardio</x:v>
      </x:c>
      <x:c r="F63" s="41" t="str">
        <x:v>Cross Trainer</x:v>
      </x:c>
      <x:c r="G63" s="41" t="str">
        <x:v>cardio_cross_trainer</x:v>
      </x:c>
      <x:c r="H63" s="42" t="n">
        <x:v>9000</x:v>
      </x:c>
      <x:c r="I63" s="41" t="str">
        <x:v>Yes</x:v>
      </x:c>
      <x:c r="J63" s="41" t="str"/>
    </x:row>
    <x:row r="64">
      <x:c r="A64" s="41" t="str">
        <x:v>CD-005</x:v>
      </x:c>
      <x:c r="B64" s="41" t="str">
        <x:v>Upright Bike</x:v>
      </x:c>
      <x:c r="C64" s="41" t="str">
        <x:v>Burnsport</x:v>
      </x:c>
      <x:c r="D64" s="41" t="str">
        <x:v>Cardio</x:v>
      </x:c>
      <x:c r="E64" s="41" t="str">
        <x:v>Cardio</x:v>
      </x:c>
      <x:c r="F64" s="41" t="str">
        <x:v>Upright Bike</x:v>
      </x:c>
      <x:c r="G64" s="41" t="str">
        <x:v>cardio_upright_bike</x:v>
      </x:c>
      <x:c r="H64" s="42" t="n">
        <x:v>6250</x:v>
      </x:c>
      <x:c r="I64" s="41" t="str">
        <x:v>Yes</x:v>
      </x:c>
      <x:c r="J64" s="41" t="str"/>
    </x:row>
    <x:row r="65">
      <x:c r="A65" s="41" t="str">
        <x:v>CD-004</x:v>
      </x:c>
      <x:c r="B65" s="41" t="str">
        <x:v>Recumbent Bike</x:v>
      </x:c>
      <x:c r="C65" s="41" t="str">
        <x:v>Burnsport</x:v>
      </x:c>
      <x:c r="D65" s="41" t="str">
        <x:v>Cardio</x:v>
      </x:c>
      <x:c r="E65" s="41" t="str">
        <x:v>Cardio</x:v>
      </x:c>
      <x:c r="F65" s="41" t="str">
        <x:v>Recumbent Bike</x:v>
      </x:c>
      <x:c r="G65" s="41" t="str">
        <x:v>cardio_recumbent_bike</x:v>
      </x:c>
      <x:c r="H65" s="42" t="n">
        <x:v>6500</x:v>
      </x:c>
      <x:c r="I65" s="41" t="str">
        <x:v>Yes</x:v>
      </x:c>
      <x:c r="J65" s="41" t="str"/>
    </x:row>
    <x:row r="66">
      <x:c r="A66" s="41" t="str">
        <x:v>CD-007</x:v>
      </x:c>
      <x:c r="B66" s="41" t="str">
        <x:v>Air Rowing Machine</x:v>
      </x:c>
      <x:c r="C66" s="41" t="str">
        <x:v>Burnsport</x:v>
      </x:c>
      <x:c r="D66" s="41" t="str">
        <x:v>Cardio</x:v>
      </x:c>
      <x:c r="E66" s="41" t="str">
        <x:v>Cardio</x:v>
      </x:c>
      <x:c r="F66" s="41" t="str">
        <x:v>Rower</x:v>
      </x:c>
      <x:c r="G66" s="41" t="str">
        <x:v>cardio_rower</x:v>
      </x:c>
      <x:c r="H66" s="42" t="n">
        <x:v>4000</x:v>
      </x:c>
      <x:c r="I66" s="41" t="str">
        <x:v>Yes</x:v>
      </x:c>
      <x:c r="J66" s="41" t="str"/>
    </x:row>
    <x:row r="67">
      <x:c r="A67" s="41" t="str">
        <x:v>PNT-1012</x:v>
      </x:c>
      <x:c r="B67" s="41" t="str">
        <x:v>Power Smith Machine Dual System</x:v>
      </x:c>
      <x:c r="C67" s="41" t="str">
        <x:v>Burnsport</x:v>
      </x:c>
      <x:c r="D67" s="41" t="str">
        <x:v>Strength</x:v>
      </x:c>
      <x:c r="E67" s="41" t="str">
        <x:v>Functional / Multi</x:v>
      </x:c>
      <x:c r="F67" s="41" t="str">
        <x:v>Smith Machine</x:v>
      </x:c>
      <x:c r="G67" s="41" t="str">
        <x:v>functional_multi_smith_machine</x:v>
      </x:c>
      <x:c r="H67" s="42" t="n">
        <x:v>12742</x:v>
      </x:c>
      <x:c r="I67" s="41" t="str">
        <x:v>Yes</x:v>
      </x:c>
      <x:c r="J67" s="41" t="str">
        <x:v>Smith is mandatory in every full-gym profile.</x:v>
      </x:c>
    </x:row>
    <x:row r="68">
      <x:c r="A68" s="41" t="str">
        <x:v>LJ-5002</x:v>
      </x:c>
      <x:c r="B68" s="41" t="str">
        <x:v>Adjustable Crossover</x:v>
      </x:c>
      <x:c r="C68" s="41" t="str">
        <x:v>Burnsport</x:v>
      </x:c>
      <x:c r="D68" s="41" t="str">
        <x:v>Strength</x:v>
      </x:c>
      <x:c r="E68" s="41" t="str">
        <x:v>Functional / Multi</x:v>
      </x:c>
      <x:c r="F68" s="41" t="str">
        <x:v>Functional Trainer</x:v>
      </x:c>
      <x:c r="G68" s="41" t="str">
        <x:v>functional_multi_functional_trainer</x:v>
      </x:c>
      <x:c r="H68" s="42" t="n">
        <x:v>21141.6</x:v>
      </x:c>
      <x:c r="I68" s="41" t="str">
        <x:v>Yes</x:v>
      </x:c>
      <x:c r="J68" s="41" t="str">
        <x:v>Functional Trainer is exactly 1.</x:v>
      </x:c>
    </x:row>
    <x:row r="69">
      <x:c r="A69" s="41" t="str">
        <x:v>LJ-5005</x:v>
      </x:c>
      <x:c r="B69" s="41" t="str">
        <x:v>Multi-jungle 4 Station</x:v>
      </x:c>
      <x:c r="C69" s="41" t="str">
        <x:v>Burnsport</x:v>
      </x:c>
      <x:c r="D69" s="41" t="str">
        <x:v>Strength</x:v>
      </x:c>
      <x:c r="E69" s="41" t="str">
        <x:v>Functional / Multi</x:v>
      </x:c>
      <x:c r="F69" s="41" t="str">
        <x:v>4 Station</x:v>
      </x:c>
      <x:c r="G69" s="41" t="str">
        <x:v>functional_multi_4_station</x:v>
      </x:c>
      <x:c r="H69" s="42" t="n">
        <x:v>27250.4</x:v>
      </x:c>
      <x:c r="I69" s="41" t="str">
        <x:v>Yes</x:v>
      </x:c>
      <x:c r="J69" s="41" t="str">
        <x:v>Only 4 / 5 / 8 station are allowed; never combine station sizes.</x:v>
      </x:c>
    </x:row>
    <x:row r="70">
      <x:c r="A70" s="41" t="str">
        <x:v>PRM-1005G</x:v>
      </x:c>
      <x:c r="B70" s="41" t="str">
        <x:v>Chest Press (PRM-1005G)</x:v>
      </x:c>
      <x:c r="C70" s="41" t="str">
        <x:v>Burnsport</x:v>
      </x:c>
      <x:c r="D70" s="41" t="str">
        <x:v>Strength</x:v>
      </x:c>
      <x:c r="E70" s="41" t="str">
        <x:v>Strength</x:v>
      </x:c>
      <x:c r="F70" s="41" t="str">
        <x:v>Chest</x:v>
      </x:c>
      <x:c r="G70" s="41" t="str">
        <x:v>strength_chest</x:v>
      </x:c>
      <x:c r="H70" s="42" t="n">
        <x:v>11776</x:v>
      </x:c>
      <x:c r="I70" s="41" t="str">
        <x:v>Yes</x:v>
      </x:c>
      <x:c r="J70" s="41" t="str">
        <x:v>Use this movement priority; avoid duplicate movement filler.</x:v>
      </x:c>
    </x:row>
    <x:row r="71">
      <x:c r="A71" s="41" t="str">
        <x:v>PRM-1002</x:v>
      </x:c>
      <x:c r="B71" s="41" t="str">
        <x:v>Incline Press Press Plate</x:v>
      </x:c>
      <x:c r="C71" s="41" t="str">
        <x:v>Burnsport</x:v>
      </x:c>
      <x:c r="D71" s="41" t="str">
        <x:v>Strength</x:v>
      </x:c>
      <x:c r="E71" s="41" t="str">
        <x:v>Strength</x:v>
      </x:c>
      <x:c r="F71" s="41" t="str">
        <x:v>Chest</x:v>
      </x:c>
      <x:c r="G71" s="41" t="str">
        <x:v>strength_chest</x:v>
      </x:c>
      <x:c r="H71" s="42" t="n">
        <x:v>11776</x:v>
      </x:c>
      <x:c r="I71" s="41" t="str">
        <x:v>Yes</x:v>
      </x:c>
      <x:c r="J71" s="41" t="str">
        <x:v>Use this movement priority; avoid duplicate movement filler.</x:v>
      </x:c>
    </x:row>
    <x:row r="72">
      <x:c r="A72" s="41" t="str">
        <x:v>PRM-1004G</x:v>
      </x:c>
      <x:c r="B72" s="41" t="str">
        <x:v>Shoulder Press (PRM-1004G)</x:v>
      </x:c>
      <x:c r="C72" s="41" t="str">
        <x:v>Burnsport</x:v>
      </x:c>
      <x:c r="D72" s="41" t="str">
        <x:v>Strength</x:v>
      </x:c>
      <x:c r="E72" s="41" t="str">
        <x:v>Strength</x:v>
      </x:c>
      <x:c r="F72" s="41" t="str">
        <x:v>Shoulder</x:v>
      </x:c>
      <x:c r="G72" s="41" t="str">
        <x:v>strength_shoulder</x:v>
      </x:c>
      <x:c r="H72" s="42" t="n">
        <x:v>11776</x:v>
      </x:c>
      <x:c r="I72" s="41" t="str">
        <x:v>Yes</x:v>
      </x:c>
      <x:c r="J72" s="41" t="str">
        <x:v>Use this movement priority; avoid duplicate movement filler.</x:v>
      </x:c>
    </x:row>
    <x:row r="73">
      <x:c r="A73" s="41" t="str">
        <x:v>HM-3014</x:v>
      </x:c>
      <x:c r="B73" s="41" t="str">
        <x:v>Seated Lateral Raise</x:v>
      </x:c>
      <x:c r="C73" s="41" t="str">
        <x:v>Burnsport</x:v>
      </x:c>
      <x:c r="D73" s="41" t="str">
        <x:v>Strength</x:v>
      </x:c>
      <x:c r="E73" s="41" t="str">
        <x:v>Strength</x:v>
      </x:c>
      <x:c r="F73" s="41" t="str">
        <x:v>Shoulder</x:v>
      </x:c>
      <x:c r="G73" s="41" t="str">
        <x:v>strength_shoulder</x:v>
      </x:c>
      <x:c r="H73" s="42" t="n">
        <x:v>14536</x:v>
      </x:c>
      <x:c r="I73" s="41" t="str">
        <x:v>Yes</x:v>
      </x:c>
      <x:c r="J73" s="41" t="str">
        <x:v>Use this movement priority; avoid duplicate movement filler.</x:v>
      </x:c>
    </x:row>
    <x:row r="74">
      <x:c r="A74" s="41" t="str">
        <x:v>PRM-1007G</x:v>
      </x:c>
      <x:c r="B74" s="41" t="str">
        <x:v>Lat Pulldown (PRM-1007G)</x:v>
      </x:c>
      <x:c r="C74" s="41" t="str">
        <x:v>Burnsport</x:v>
      </x:c>
      <x:c r="D74" s="41" t="str">
        <x:v>Strength</x:v>
      </x:c>
      <x:c r="E74" s="41" t="str">
        <x:v>Strength</x:v>
      </x:c>
      <x:c r="F74" s="41" t="str">
        <x:v>Back</x:v>
      </x:c>
      <x:c r="G74" s="41" t="str">
        <x:v>strength_back</x:v>
      </x:c>
      <x:c r="H74" s="42" t="n">
        <x:v>11776</x:v>
      </x:c>
      <x:c r="I74" s="41" t="str">
        <x:v>Yes</x:v>
      </x:c>
      <x:c r="J74" s="41" t="str">
        <x:v>Use this movement priority; avoid duplicate movement filler.</x:v>
      </x:c>
    </x:row>
    <x:row r="75">
      <x:c r="A75" s="41" t="str">
        <x:v>PRM-1008G</x:v>
      </x:c>
      <x:c r="B75" s="41" t="str">
        <x:v>Seated Row</x:v>
      </x:c>
      <x:c r="C75" s="41" t="str">
        <x:v>Burnsport</x:v>
      </x:c>
      <x:c r="D75" s="41" t="str">
        <x:v>Strength</x:v>
      </x:c>
      <x:c r="E75" s="41" t="str">
        <x:v>Strength</x:v>
      </x:c>
      <x:c r="F75" s="41" t="str">
        <x:v>Back</x:v>
      </x:c>
      <x:c r="G75" s="41" t="str">
        <x:v>strength_back</x:v>
      </x:c>
      <x:c r="H75" s="42" t="n">
        <x:v>10672</x:v>
      </x:c>
      <x:c r="I75" s="41" t="str">
        <x:v>Yes</x:v>
      </x:c>
      <x:c r="J75" s="41" t="str">
        <x:v>Use this movement priority; avoid duplicate movement filler.</x:v>
      </x:c>
    </x:row>
    <x:row r="76">
      <x:c r="A76" s="41" t="str">
        <x:v>HM-1014</x:v>
      </x:c>
      <x:c r="B76" s="41" t="str">
        <x:v>Iso-lateral Low Row</x:v>
      </x:c>
      <x:c r="C76" s="41" t="str">
        <x:v>Burnsport</x:v>
      </x:c>
      <x:c r="D76" s="41" t="str">
        <x:v>Strength</x:v>
      </x:c>
      <x:c r="E76" s="41" t="str">
        <x:v>Strength</x:v>
      </x:c>
      <x:c r="F76" s="41" t="str">
        <x:v>Back</x:v>
      </x:c>
      <x:c r="G76" s="41" t="str">
        <x:v>strength_back</x:v>
      </x:c>
      <x:c r="H76" s="42" t="n">
        <x:v>10856</x:v>
      </x:c>
      <x:c r="I76" s="41" t="str">
        <x:v>Yes</x:v>
      </x:c>
      <x:c r="J76" s="41" t="str">
        <x:v>Use this movement priority; avoid duplicate movement filler.</x:v>
      </x:c>
    </x:row>
    <x:row r="77">
      <x:c r="A77" s="41" t="str">
        <x:v>PRM-1009G</x:v>
      </x:c>
      <x:c r="B77" s="41" t="str">
        <x:v>Arm Curl</x:v>
      </x:c>
      <x:c r="C77" s="41" t="str">
        <x:v>Burnsport</x:v>
      </x:c>
      <x:c r="D77" s="41" t="str">
        <x:v>Strength</x:v>
      </x:c>
      <x:c r="E77" s="41" t="str">
        <x:v>Strength</x:v>
      </x:c>
      <x:c r="F77" s="41" t="str">
        <x:v>Arms</x:v>
      </x:c>
      <x:c r="G77" s="41" t="str">
        <x:v>strength_arms</x:v>
      </x:c>
      <x:c r="H77" s="42" t="n">
        <x:v>10672</x:v>
      </x:c>
      <x:c r="I77" s="41" t="str">
        <x:v>Yes</x:v>
      </x:c>
      <x:c r="J77" s="41" t="str">
        <x:v>Use this movement priority; avoid duplicate movement filler.</x:v>
      </x:c>
    </x:row>
    <x:row r="78">
      <x:c r="A78" s="41" t="str">
        <x:v>HM-3007</x:v>
      </x:c>
      <x:c r="B78" s="41" t="str">
        <x:v>Triceps Extension</x:v>
      </x:c>
      <x:c r="C78" s="41" t="str">
        <x:v>Burnsport</x:v>
      </x:c>
      <x:c r="D78" s="41" t="str">
        <x:v>Strength</x:v>
      </x:c>
      <x:c r="E78" s="41" t="str">
        <x:v>Strength</x:v>
      </x:c>
      <x:c r="F78" s="41" t="str">
        <x:v>Arms</x:v>
      </x:c>
      <x:c r="G78" s="41" t="str">
        <x:v>strength_arms</x:v>
      </x:c>
      <x:c r="H78" s="42" t="n">
        <x:v>14536</x:v>
      </x:c>
      <x:c r="I78" s="41" t="str">
        <x:v>Yes</x:v>
      </x:c>
      <x:c r="J78" s="41" t="str">
        <x:v>Use this movement priority; avoid duplicate movement filler.</x:v>
      </x:c>
    </x:row>
    <x:row r="79">
      <x:c r="A79" s="41" t="str">
        <x:v>HM-3021</x:v>
      </x:c>
      <x:c r="B79" s="41" t="str">
        <x:v>Abdominal Crunch</x:v>
      </x:c>
      <x:c r="C79" s="41" t="str">
        <x:v>Burnsport</x:v>
      </x:c>
      <x:c r="D79" s="41" t="str">
        <x:v>Strength</x:v>
      </x:c>
      <x:c r="E79" s="41" t="str">
        <x:v>Strength</x:v>
      </x:c>
      <x:c r="F79" s="41" t="str">
        <x:v>Core / Abs</x:v>
      </x:c>
      <x:c r="G79" s="41" t="str">
        <x:v>strength_core_abs</x:v>
      </x:c>
      <x:c r="H79" s="42" t="n">
        <x:v>13156</x:v>
      </x:c>
      <x:c r="I79" s="41" t="str">
        <x:v>Yes</x:v>
      </x:c>
      <x:c r="J79" s="41" t="str">
        <x:v>Use this movement priority; avoid duplicate movement filler.</x:v>
      </x:c>
    </x:row>
    <x:row r="80">
      <x:c r="A80" s="41" t="str">
        <x:v>PRM-1013</x:v>
      </x:c>
      <x:c r="B80" s="41" t="str">
        <x:v>Leg Press (PRM-1013)</x:v>
      </x:c>
      <x:c r="C80" s="41" t="str">
        <x:v>Burnsport</x:v>
      </x:c>
      <x:c r="D80" s="41" t="str">
        <x:v>Strength</x:v>
      </x:c>
      <x:c r="E80" s="41" t="str">
        <x:v>Strength</x:v>
      </x:c>
      <x:c r="F80" s="41" t="str">
        <x:v>Legs</x:v>
      </x:c>
      <x:c r="G80" s="41" t="str">
        <x:v>strength_legs</x:v>
      </x:c>
      <x:c r="H80" s="42" t="n">
        <x:v>14352</x:v>
      </x:c>
      <x:c r="I80" s="41" t="str">
        <x:v>Yes</x:v>
      </x:c>
      <x:c r="J80" s="41" t="str">
        <x:v>Use this movement priority; avoid duplicate movement filler.</x:v>
      </x:c>
    </x:row>
    <x:row r="81">
      <x:c r="A81" s="41" t="str">
        <x:v>HM-3009</x:v>
      </x:c>
      <x:c r="B81" s="41" t="str">
        <x:v>Seated Leg Extension</x:v>
      </x:c>
      <x:c r="C81" s="41" t="str">
        <x:v>Burnsport</x:v>
      </x:c>
      <x:c r="D81" s="41" t="str">
        <x:v>Strength</x:v>
      </x:c>
      <x:c r="E81" s="41" t="str">
        <x:v>Strength</x:v>
      </x:c>
      <x:c r="F81" s="41" t="str">
        <x:v>Legs</x:v>
      </x:c>
      <x:c r="G81" s="41" t="str">
        <x:v>strength_legs</x:v>
      </x:c>
      <x:c r="H81" s="42" t="n">
        <x:v>14536</x:v>
      </x:c>
      <x:c r="I81" s="41" t="str">
        <x:v>Yes</x:v>
      </x:c>
      <x:c r="J81" s="41" t="str">
        <x:v>Use this movement priority; avoid duplicate movement filler.</x:v>
      </x:c>
    </x:row>
    <x:row r="82">
      <x:c r="A82" s="41" t="str">
        <x:v>HM-3010</x:v>
      </x:c>
      <x:c r="B82" s="41" t="str">
        <x:v>Seated Leg Curl</x:v>
      </x:c>
      <x:c r="C82" s="41" t="str">
        <x:v>Burnsport</x:v>
      </x:c>
      <x:c r="D82" s="41" t="str">
        <x:v>Strength</x:v>
      </x:c>
      <x:c r="E82" s="41" t="str">
        <x:v>Strength</x:v>
      </x:c>
      <x:c r="F82" s="41" t="str">
        <x:v>Legs</x:v>
      </x:c>
      <x:c r="G82" s="41" t="str">
        <x:v>strength_legs</x:v>
      </x:c>
      <x:c r="H82" s="42" t="n">
        <x:v>14536</x:v>
      </x:c>
      <x:c r="I82" s="41" t="str">
        <x:v>Yes</x:v>
      </x:c>
      <x:c r="J82" s="41" t="str">
        <x:v>Use this movement priority; avoid duplicate movement filler.</x:v>
      </x:c>
    </x:row>
    <x:row r="83">
      <x:c r="A83" s="41" t="str">
        <x:v>HM-3017</x:v>
      </x:c>
      <x:c r="B83" s="41" t="str">
        <x:v>Hip Adduction</x:v>
      </x:c>
      <x:c r="C83" s="41" t="str">
        <x:v>Burnsport</x:v>
      </x:c>
      <x:c r="D83" s="41" t="str">
        <x:v>Strength</x:v>
      </x:c>
      <x:c r="E83" s="41" t="str">
        <x:v>Strength</x:v>
      </x:c>
      <x:c r="F83" s="41" t="str">
        <x:v>Glutes</x:v>
      </x:c>
      <x:c r="G83" s="41" t="str">
        <x:v>strength_glutes</x:v>
      </x:c>
      <x:c r="H83" s="42" t="n">
        <x:v>14536</x:v>
      </x:c>
      <x:c r="I83" s="41" t="str">
        <x:v>Yes</x:v>
      </x:c>
      <x:c r="J83" s="41" t="str">
        <x:v>Use this movement priority; avoid duplicate movement filler.</x:v>
      </x:c>
    </x:row>
    <x:row r="84">
      <x:c r="A84" s="41" t="str">
        <x:v>HM-2009C</x:v>
      </x:c>
      <x:c r="B84" s="41" t="str">
        <x:v>Multi-Adjustable Bench</x:v>
      </x:c>
      <x:c r="C84" s="41" t="str">
        <x:v>Burnsport</x:v>
      </x:c>
      <x:c r="D84" s="41" t="str">
        <x:v>Strength</x:v>
      </x:c>
      <x:c r="E84" s="41" t="str">
        <x:v>Benches</x:v>
      </x:c>
      <x:c r="F84" s="41" t="str">
        <x:v>Adjustable Bench</x:v>
      </x:c>
      <x:c r="G84" s="41" t="str">
        <x:v>benches_adjustable_bench</x:v>
      </x:c>
      <x:c r="H84" s="42" t="n">
        <x:v>4324</x:v>
      </x:c>
      <x:c r="I84" s="41" t="str">
        <x:v>Yes</x:v>
      </x:c>
      <x:c r="J84" s="41" t="str">
        <x:v>Bench quantity scales with gym capacity.</x:v>
      </x:c>
    </x:row>
    <x:row r="85">
      <x:c r="A85" s="41" t="str">
        <x:v>HM-2008</x:v>
      </x:c>
      <x:c r="B85" s="41" t="str">
        <x:v>Flat Bench</x:v>
      </x:c>
      <x:c r="C85" s="41" t="str">
        <x:v>Burnsport</x:v>
      </x:c>
      <x:c r="D85" s="41" t="str">
        <x:v>Strength</x:v>
      </x:c>
      <x:c r="E85" s="41" t="str">
        <x:v>Benches</x:v>
      </x:c>
      <x:c r="F85" s="41" t="str">
        <x:v>Flat Bench</x:v>
      </x:c>
      <x:c r="G85" s="41" t="str">
        <x:v>benches_flat_bench</x:v>
      </x:c>
      <x:c r="H85" s="42" t="n">
        <x:v>2392</x:v>
      </x:c>
      <x:c r="I85" s="41" t="str">
        <x:v>Yes</x:v>
      </x:c>
      <x:c r="J85" s="41" t="str">
        <x:v>Bench quantity scales with gym capacity.</x:v>
      </x:c>
    </x:row>
    <x:row r="86">
      <x:c r="A86" s="41" t="str">
        <x:v>HM-2006</x:v>
      </x:c>
      <x:c r="B86" s="41" t="str">
        <x:v>Decline Bench</x:v>
      </x:c>
      <x:c r="C86" s="41" t="str">
        <x:v>Burnsport</x:v>
      </x:c>
      <x:c r="D86" s="41" t="str">
        <x:v>Strength</x:v>
      </x:c>
      <x:c r="E86" s="41" t="str">
        <x:v>Benches</x:v>
      </x:c>
      <x:c r="F86" s="41" t="str">
        <x:v>Adjustable Crunch Bench</x:v>
      </x:c>
      <x:c r="G86" s="41" t="str">
        <x:v>benches_adjustable_crunch_bench</x:v>
      </x:c>
      <x:c r="H86" s="42" t="n">
        <x:v>3404</x:v>
      </x:c>
      <x:c r="I86" s="41" t="str">
        <x:v>Review</x:v>
      </x:c>
      <x:c r="J86" s="41" t="str">
        <x:v>Closest actual Burnsport bench match is HM-2006 Decline Bench; verify before fully automatic selection.</x:v>
      </x:c>
    </x:row>
    <x:row r="87">
      <x:c r="A87" s="41" t="str">
        <x:v>HM-3022</x:v>
      </x:c>
      <x:c r="B87" s="41" t="str">
        <x:v>Back Extension</x:v>
      </x:c>
      <x:c r="C87" s="41" t="str">
        <x:v>Burnsport</x:v>
      </x:c>
      <x:c r="D87" s="41" t="str">
        <x:v>Strength</x:v>
      </x:c>
      <x:c r="E87" s="41" t="str">
        <x:v>Benches</x:v>
      </x:c>
      <x:c r="F87" s="41" t="str">
        <x:v>Lower Back Bench</x:v>
      </x:c>
      <x:c r="G87" s="41" t="str">
        <x:v>benches_lower_back_bench</x:v>
      </x:c>
      <x:c r="H87" s="42" t="n">
        <x:v>13156</x:v>
      </x:c>
      <x:c r="I87" s="41" t="str">
        <x:v>Review</x:v>
      </x:c>
      <x:c r="J87" s="41" t="str">
        <x:v>No dedicated Burnsport lower-back bench found; HM-3022 Back Extension machine is used as the current equivalent.</x:v>
      </x:c>
    </x:row>
    <x:row r="88">
      <x:c r="A88" s="41" t="str">
        <x:v>HM-2002</x:v>
      </x:c>
      <x:c r="B88" s="41" t="str">
        <x:v>Olympic Flat Bench</x:v>
      </x:c>
      <x:c r="C88" s="41" t="str">
        <x:v>Burnsport</x:v>
      </x:c>
      <x:c r="D88" s="41" t="str">
        <x:v>Strength</x:v>
      </x:c>
      <x:c r="E88" s="41" t="str">
        <x:v>Benches</x:v>
      </x:c>
      <x:c r="F88" s="41" t="str">
        <x:v>Olympic Flat Bench</x:v>
      </x:c>
      <x:c r="G88" s="41" t="str">
        <x:v>benches_olympic_flat_bench</x:v>
      </x:c>
      <x:c r="H88" s="42" t="n">
        <x:v>4416</x:v>
      </x:c>
      <x:c r="I88" s="41" t="str">
        <x:v>Yes</x:v>
      </x:c>
      <x:c r="J88" s="41" t="str">
        <x:v>Bench quantity scales with gym capacity.</x:v>
      </x:c>
    </x:row>
    <x:row r="89">
      <x:c r="A89" s="41" t="str">
        <x:v>HM-2001</x:v>
      </x:c>
      <x:c r="B89" s="41" t="str">
        <x:v>Olympic Incline Bench</x:v>
      </x:c>
      <x:c r="C89" s="41" t="str">
        <x:v>Burnsport</x:v>
      </x:c>
      <x:c r="D89" s="41" t="str">
        <x:v>Strength</x:v>
      </x:c>
      <x:c r="E89" s="41" t="str">
        <x:v>Benches</x:v>
      </x:c>
      <x:c r="F89" s="41" t="str">
        <x:v>Olympic Incline Bench</x:v>
      </x:c>
      <x:c r="G89" s="41" t="str">
        <x:v>benches_olympic_incline_bench</x:v>
      </x:c>
      <x:c r="H89" s="42" t="n">
        <x:v>5428</x:v>
      </x:c>
      <x:c r="I89" s="41" t="str">
        <x:v>Yes</x:v>
      </x:c>
      <x:c r="J89" s="41" t="str">
        <x:v>Bench quantity scales with gym capacity.</x:v>
      </x:c>
    </x:row>
    <x:row r="90">
      <x:c r="A90" s="41" t="str">
        <x:v>BRN-001-2</x:v>
      </x:c>
      <x:c r="B90" s="41" t="str">
        <x:v>PU Dumbbells Set - 2.5–50 kg</x:v>
      </x:c>
      <x:c r="C90" s="41" t="str">
        <x:v>Burnsport</x:v>
      </x:c>
      <x:c r="D90" s="41" t="str">
        <x:v>Weights</x:v>
      </x:c>
      <x:c r="E90" s="41" t="str">
        <x:v>Free Weights</x:v>
      </x:c>
      <x:c r="F90" s="41" t="str">
        <x:v>Dumbbell Full Set 2.5–50kg</x:v>
      </x:c>
      <x:c r="G90" s="41" t="str">
        <x:v>free_weights_dumbbell_full_set_2_5_50kg</x:v>
      </x:c>
      <x:c r="H90" s="42" t="n">
        <x:v>16500</x:v>
      </x:c>
      <x:c r="I90" s="41" t="str">
        <x:v>Yes</x:v>
      </x:c>
      <x:c r="J90" s="41" t="str">
        <x:v>Full set requires exactly 2 matching dumbbell racks.</x:v>
      </x:c>
    </x:row>
    <x:row r="91">
      <x:c r="A91" s="41" t="str">
        <x:v>HM-2017</x:v>
      </x:c>
      <x:c r="B91" s="41" t="str">
        <x:v>Dumbbell Rack - Two Tier</x:v>
      </x:c>
      <x:c r="C91" s="41" t="str">
        <x:v>Burnsport</x:v>
      </x:c>
      <x:c r="D91" s="41" t="str">
        <x:v>Strength</x:v>
      </x:c>
      <x:c r="E91" s="41" t="str">
        <x:v>Free Weights</x:v>
      </x:c>
      <x:c r="F91" s="41" t="str">
        <x:v>Dumbbell Rack</x:v>
      </x:c>
      <x:c r="G91" s="41" t="str">
        <x:v>free_weights_dumbbell_rack</x:v>
      </x:c>
      <x:c r="H91" s="42" t="n">
        <x:v>3312</x:v>
      </x:c>
      <x:c r="I91" s="41" t="str">
        <x:v>Yes</x:v>
      </x:c>
      <x:c r="J91" s="41" t="str">
        <x:v>2 racks per full set; 1 rack per half set.</x:v>
      </x:c>
    </x:row>
    <x:row r="92">
      <x:c r="A92" s="41" t="str">
        <x:v>BRN-003</x:v>
      </x:c>
      <x:c r="B92" s="41" t="str">
        <x:v>PU Weight Plate - 2.5 kg</x:v>
      </x:c>
      <x:c r="C92" s="41" t="str">
        <x:v>Burnsport</x:v>
      </x:c>
      <x:c r="D92" s="41" t="str">
        <x:v>Weights</x:v>
      </x:c>
      <x:c r="E92" s="41" t="str">
        <x:v>Free Weights</x:v>
      </x:c>
      <x:c r="F92" s="41" t="str">
        <x:v>PU Weight Plate 2.5kg</x:v>
      </x:c>
      <x:c r="G92" s="41" t="str">
        <x:v>free_weights_pu_weight_plate_2_5kg</x:v>
      </x:c>
      <x:c r="H92" s="42" t="n">
        <x:v>45</x:v>
      </x:c>
      <x:c r="I92" s="41" t="str">
        <x:v>Yes</x:v>
      </x:c>
      <x:c r="J92" s="41" t="str">
        <x:v>16 pcs each size. One complete family only; never mix plate families.</x:v>
      </x:c>
    </x:row>
    <x:row r="93">
      <x:c r="A93" s="41" t="str">
        <x:v>BRN-003-2</x:v>
      </x:c>
      <x:c r="B93" s="41" t="str">
        <x:v>PU Weight Plate - 5 kg</x:v>
      </x:c>
      <x:c r="C93" s="41" t="str">
        <x:v>Burnsport</x:v>
      </x:c>
      <x:c r="D93" s="41" t="str">
        <x:v>Weights</x:v>
      </x:c>
      <x:c r="E93" s="41" t="str">
        <x:v>Free Weights</x:v>
      </x:c>
      <x:c r="F93" s="41" t="str">
        <x:v>PU Weight Plate 5kg</x:v>
      </x:c>
      <x:c r="G93" s="41" t="str">
        <x:v>free_weights_pu_weight_plate_5kg</x:v>
      </x:c>
      <x:c r="H93" s="42" t="n">
        <x:v>90</x:v>
      </x:c>
      <x:c r="I93" s="41" t="str">
        <x:v>Yes</x:v>
      </x:c>
      <x:c r="J93" s="41" t="str">
        <x:v>16 pcs each size. One complete family only; never mix plate families.</x:v>
      </x:c>
    </x:row>
    <x:row r="94">
      <x:c r="A94" s="41" t="str">
        <x:v>BRN-003-3</x:v>
      </x:c>
      <x:c r="B94" s="41" t="str">
        <x:v>PU Weight Plate - 10 kg</x:v>
      </x:c>
      <x:c r="C94" s="41" t="str">
        <x:v>Burnsport</x:v>
      </x:c>
      <x:c r="D94" s="41" t="str">
        <x:v>Weights</x:v>
      </x:c>
      <x:c r="E94" s="41" t="str">
        <x:v>Free Weights</x:v>
      </x:c>
      <x:c r="F94" s="41" t="str">
        <x:v>PU Weight Plate 10kg</x:v>
      </x:c>
      <x:c r="G94" s="41" t="str">
        <x:v>free_weights_pu_weight_plate_10kg</x:v>
      </x:c>
      <x:c r="H94" s="42" t="n">
        <x:v>180</x:v>
      </x:c>
      <x:c r="I94" s="41" t="str">
        <x:v>Yes</x:v>
      </x:c>
      <x:c r="J94" s="41" t="str">
        <x:v>16 pcs each size. One complete family only; never mix plate families.</x:v>
      </x:c>
    </x:row>
    <x:row r="95">
      <x:c r="A95" s="41" t="str">
        <x:v>BRN-003-5</x:v>
      </x:c>
      <x:c r="B95" s="41" t="str">
        <x:v>PU Weight Plate - 20 kg</x:v>
      </x:c>
      <x:c r="C95" s="41" t="str">
        <x:v>Burnsport</x:v>
      </x:c>
      <x:c r="D95" s="41" t="str">
        <x:v>Weights</x:v>
      </x:c>
      <x:c r="E95" s="41" t="str">
        <x:v>Free Weights</x:v>
      </x:c>
      <x:c r="F95" s="41" t="str">
        <x:v>PU Weight Plate 20kg</x:v>
      </x:c>
      <x:c r="G95" s="41" t="str">
        <x:v>free_weights_pu_weight_plate_20kg</x:v>
      </x:c>
      <x:c r="H95" s="42" t="n">
        <x:v>360</x:v>
      </x:c>
      <x:c r="I95" s="41" t="str">
        <x:v>Yes</x:v>
      </x:c>
      <x:c r="J95" s="41" t="str">
        <x:v>16 pcs each size. One complete family only; never mix plate families.</x:v>
      </x:c>
    </x:row>
    <x:row r="96">
      <x:c r="A96" s="41" t="str">
        <x:v>PM3015</x:v>
      </x:c>
      <x:c r="B96" s="41" t="str">
        <x:v>Rubber Coated Barbell Set</x:v>
      </x:c>
      <x:c r="C96" s="41" t="str">
        <x:v>Premier</x:v>
      </x:c>
      <x:c r="D96" s="41" t="str">
        <x:v>Weights</x:v>
      </x:c>
      <x:c r="E96" s="41" t="str">
        <x:v>Free Weights</x:v>
      </x:c>
      <x:c r="F96" s="41" t="str">
        <x:v>Barbell Set</x:v>
      </x:c>
      <x:c r="G96" s="41" t="str">
        <x:v>free_weights_barbell_set</x:v>
      </x:c>
      <x:c r="H96" s="42" t="n">
        <x:v>3500</x:v>
      </x:c>
      <x:c r="I96" s="41" t="str">
        <x:v>Review</x:v>
      </x:c>
      <x:c r="J96" s="41" t="str">
        <x:v>No Burnsport barbell set exists in the uploaded product list. Premier set is used as shared fallback; approval required before fully automatic use.</x:v>
      </x:c>
    </x:row>
    <x:row r="97">
      <x:c r="A97" s="41" t="str">
        <x:v>HM-2023</x:v>
      </x:c>
      <x:c r="B97" s="41" t="str">
        <x:v>Barbell Rack</x:v>
      </x:c>
      <x:c r="C97" s="41" t="str">
        <x:v>Burnsport</x:v>
      </x:c>
      <x:c r="D97" s="41" t="str">
        <x:v>Strength</x:v>
      </x:c>
      <x:c r="E97" s="41" t="str">
        <x:v>Free Weights</x:v>
      </x:c>
      <x:c r="F97" s="41" t="str">
        <x:v>Barbell Rack</x:v>
      </x:c>
      <x:c r="G97" s="41" t="str">
        <x:v>free_weights_barbell_rack</x:v>
      </x:c>
      <x:c r="H97" s="42" t="n">
        <x:v>4351.6</x:v>
      </x:c>
      <x:c r="I97" s="41" t="str">
        <x:v>Yes</x:v>
      </x:c>
      <x:c r="J97" s="41" t="str">
        <x:v>Rack brand follows the gym brand; 1 rack per barbell set.</x:v>
      </x:c>
    </x:row>
    <x:row r="98">
      <x:c r="A98" s="41" t="str">
        <x:v>CD-008</x:v>
      </x:c>
      <x:c r="B98" s="41" t="str">
        <x:v>Skierg</x:v>
      </x:c>
      <x:c r="C98" s="41" t="str">
        <x:v>Burnsport</x:v>
      </x:c>
      <x:c r="D98" s="41" t="str">
        <x:v>Cardio</x:v>
      </x:c>
      <x:c r="E98" s="41" t="str">
        <x:v>Cardio</x:v>
      </x:c>
      <x:c r="F98" s="41" t="str">
        <x:v>SkiErg</x:v>
      </x:c>
      <x:c r="G98" s="41" t="str">
        <x:v>cardio_skierg</x:v>
      </x:c>
      <x:c r="H98" s="42" t="n">
        <x:v>5500</x:v>
      </x:c>
      <x:c r="I98" s="41" t="str">
        <x:v>Yes</x:v>
      </x:c>
      <x:c r="J98" s="41" t="str"/>
    </x:row>
    <x:row r="99">
      <x:c r="A99" s="41" t="str">
        <x:v>LJ-5004</x:v>
      </x:c>
      <x:c r="B99" s="41" t="str">
        <x:v>Multi-jungle 5 Station</x:v>
      </x:c>
      <x:c r="C99" s="41" t="str">
        <x:v>Burnsport</x:v>
      </x:c>
      <x:c r="D99" s="41" t="str">
        <x:v>Strength</x:v>
      </x:c>
      <x:c r="E99" s="41" t="str">
        <x:v>Functional / Multi</x:v>
      </x:c>
      <x:c r="F99" s="41" t="str">
        <x:v>5 Station</x:v>
      </x:c>
      <x:c r="G99" s="41" t="str">
        <x:v>functional_multi_5_station</x:v>
      </x:c>
      <x:c r="H99" s="42" t="n">
        <x:v>38557.2</x:v>
      </x:c>
      <x:c r="I99" s="41" t="str">
        <x:v>Yes</x:v>
      </x:c>
      <x:c r="J99" s="41" t="str">
        <x:v>Only 4 / 5 / 8 station are allowed; never combine station sizes.</x:v>
      </x:c>
    </x:row>
    <x:row r="100">
      <x:c r="A100" s="41" t="str">
        <x:v>HM-3015</x:v>
      </x:c>
      <x:c r="B100" s="41" t="str">
        <x:v>Pectoral Fly</x:v>
      </x:c>
      <x:c r="C100" s="41" t="str">
        <x:v>Burnsport</x:v>
      </x:c>
      <x:c r="D100" s="41" t="str">
        <x:v>Strength</x:v>
      </x:c>
      <x:c r="E100" s="41" t="str">
        <x:v>Strength</x:v>
      </x:c>
      <x:c r="F100" s="41" t="str">
        <x:v>Chest</x:v>
      </x:c>
      <x:c r="G100" s="41" t="str">
        <x:v>strength_chest</x:v>
      </x:c>
      <x:c r="H100" s="42" t="n">
        <x:v>14536</x:v>
      </x:c>
      <x:c r="I100" s="41" t="str">
        <x:v>Yes</x:v>
      </x:c>
      <x:c r="J100" s="41" t="str">
        <x:v>Use this movement priority; avoid duplicate movement filler.</x:v>
      </x:c>
    </x:row>
    <x:row r="101">
      <x:c r="A101" s="41" t="str">
        <x:v>HM-1018</x:v>
      </x:c>
      <x:c r="B101" s="41" t="str">
        <x:v>Iso-lateral High Row</x:v>
      </x:c>
      <x:c r="C101" s="41" t="str">
        <x:v>Burnsport</x:v>
      </x:c>
      <x:c r="D101" s="41" t="str">
        <x:v>Strength</x:v>
      </x:c>
      <x:c r="E101" s="41" t="str">
        <x:v>Strength</x:v>
      </x:c>
      <x:c r="F101" s="41" t="str">
        <x:v>Back</x:v>
      </x:c>
      <x:c r="G101" s="41" t="str">
        <x:v>strength_back</x:v>
      </x:c>
      <x:c r="H101" s="42" t="n">
        <x:v>10856</x:v>
      </x:c>
      <x:c r="I101" s="41" t="str">
        <x:v>Yes</x:v>
      </x:c>
      <x:c r="J101" s="41" t="str">
        <x:v>Use this movement priority; avoid duplicate movement filler.</x:v>
      </x:c>
    </x:row>
    <x:row r="102">
      <x:c r="A102" s="41" t="str">
        <x:v>HM-1023</x:v>
      </x:c>
      <x:c r="B102" s="41" t="str">
        <x:v>Abdominal Oblique Crunch</x:v>
      </x:c>
      <x:c r="C102" s="41" t="str">
        <x:v>Burnsport</x:v>
      </x:c>
      <x:c r="D102" s="41" t="str">
        <x:v>Strength</x:v>
      </x:c>
      <x:c r="E102" s="41" t="str">
        <x:v>Strength</x:v>
      </x:c>
      <x:c r="F102" s="41" t="str">
        <x:v>Core / Abs</x:v>
      </x:c>
      <x:c r="G102" s="41" t="str">
        <x:v>strength_core_abs</x:v>
      </x:c>
      <x:c r="H102" s="42" t="n">
        <x:v>11776</x:v>
      </x:c>
      <x:c r="I102" s="41" t="str">
        <x:v>Yes</x:v>
      </x:c>
      <x:c r="J102" s="41" t="str">
        <x:v>Use this movement priority; avoid duplicate movement filler.</x:v>
      </x:c>
    </x:row>
    <x:row r="103">
      <x:c r="A103" s="41" t="str">
        <x:v>RS-1002</x:v>
      </x:c>
      <x:c r="B103" s="41" t="str">
        <x:v>Hack Squat</x:v>
      </x:c>
      <x:c r="C103" s="41" t="str">
        <x:v>Burnsport</x:v>
      </x:c>
      <x:c r="D103" s="41" t="str">
        <x:v>Strength</x:v>
      </x:c>
      <x:c r="E103" s="41" t="str">
        <x:v>Strength</x:v>
      </x:c>
      <x:c r="F103" s="41" t="str">
        <x:v>Legs</x:v>
      </x:c>
      <x:c r="G103" s="41" t="str">
        <x:v>strength_legs</x:v>
      </x:c>
      <x:c r="H103" s="42" t="n">
        <x:v>12861.6</x:v>
      </x:c>
      <x:c r="I103" s="41" t="str">
        <x:v>Yes</x:v>
      </x:c>
      <x:c r="J103" s="41" t="str">
        <x:v>Use this movement priority; avoid duplicate movement filler.</x:v>
      </x:c>
    </x:row>
    <x:row r="104">
      <x:c r="A104" s="41" t="str">
        <x:v>BRN-001-1</x:v>
      </x:c>
      <x:c r="B104" s="41" t="str">
        <x:v>PU Dumbbells Set - 2.5–25 kg</x:v>
      </x:c>
      <x:c r="C104" s="41" t="str">
        <x:v>Burnsport</x:v>
      </x:c>
      <x:c r="D104" s="41" t="str">
        <x:v>Weights</x:v>
      </x:c>
      <x:c r="E104" s="41" t="str">
        <x:v>Free Weights</x:v>
      </x:c>
      <x:c r="F104" s="41" t="str">
        <x:v>Dumbbell Half Set 2.5–25kg</x:v>
      </x:c>
      <x:c r="G104" s="41" t="str">
        <x:v>free_weights_dumbbell_half_set_2_5_25kg</x:v>
      </x:c>
      <x:c r="H104" s="42" t="n">
        <x:v>6000</x:v>
      </x:c>
      <x:c r="I104" s="41" t="str">
        <x:v>Yes</x:v>
      </x:c>
      <x:c r="J104" s="41" t="str">
        <x:v>Half set requires exactly 1 additional matching rack.</x:v>
      </x:c>
    </x:row>
    <x:row r="105">
      <x:c r="A105" s="41" t="str">
        <x:v>HM-1020</x:v>
      </x:c>
      <x:c r="B105" s="41" t="str">
        <x:v>Iso-lateral Shoulder Press</x:v>
      </x:c>
      <x:c r="C105" s="41" t="str">
        <x:v>Burnsport</x:v>
      </x:c>
      <x:c r="D105" s="41" t="str">
        <x:v>Strength</x:v>
      </x:c>
      <x:c r="E105" s="41" t="str">
        <x:v>Strength</x:v>
      </x:c>
      <x:c r="F105" s="41" t="str">
        <x:v>Shoulder</x:v>
      </x:c>
      <x:c r="G105" s="41" t="str">
        <x:v>strength_shoulder</x:v>
      </x:c>
      <x:c r="H105" s="42" t="n">
        <x:v>10856</x:v>
      </x:c>
      <x:c r="I105" s="41" t="str">
        <x:v>Yes</x:v>
      </x:c>
      <x:c r="J105" s="41" t="str">
        <x:v>Use this movement priority; avoid duplicate movement filler.</x:v>
      </x:c>
    </x:row>
    <x:row r="106">
      <x:c r="A106" s="41" t="str">
        <x:v>HM-1016</x:v>
      </x:c>
      <x:c r="B106" s="41" t="str">
        <x:v>Seated Dip</x:v>
      </x:c>
      <x:c r="C106" s="41" t="str">
        <x:v>Burnsport</x:v>
      </x:c>
      <x:c r="D106" s="41" t="str">
        <x:v>Strength</x:v>
      </x:c>
      <x:c r="E106" s="41" t="str">
        <x:v>Strength</x:v>
      </x:c>
      <x:c r="F106" s="41" t="str">
        <x:v>Arms</x:v>
      </x:c>
      <x:c r="G106" s="41" t="str">
        <x:v>strength_arms</x:v>
      </x:c>
      <x:c r="H106" s="42" t="n">
        <x:v>10672</x:v>
      </x:c>
      <x:c r="I106" s="41" t="str">
        <x:v>Yes</x:v>
      </x:c>
      <x:c r="J106" s="41" t="str">
        <x:v>Use this movement priority; avoid duplicate movement filler.</x:v>
      </x:c>
    </x:row>
    <x:row r="107">
      <x:c r="A107" s="41" t="str">
        <x:v>HM-1034</x:v>
      </x:c>
      <x:c r="B107" s="41" t="str">
        <x:v>Super Horizontal Calf</x:v>
      </x:c>
      <x:c r="C107" s="41" t="str">
        <x:v>Burnsport</x:v>
      </x:c>
      <x:c r="D107" s="41" t="str">
        <x:v>Strength</x:v>
      </x:c>
      <x:c r="E107" s="41" t="str">
        <x:v>Strength</x:v>
      </x:c>
      <x:c r="F107" s="41" t="str">
        <x:v>Legs</x:v>
      </x:c>
      <x:c r="G107" s="41" t="str">
        <x:v>strength_legs</x:v>
      </x:c>
      <x:c r="H107" s="42" t="n">
        <x:v>9936</x:v>
      </x:c>
      <x:c r="I107" s="41" t="str">
        <x:v>Yes</x:v>
      </x:c>
      <x:c r="J107" s="41" t="str">
        <x:v>Use this movement priority; avoid duplicate movement filler.</x:v>
      </x:c>
    </x:row>
    <x:row r="108">
      <x:c r="A108" s="41" t="str">
        <x:v>RS-1011</x:v>
      </x:c>
      <x:c r="B108" s="41" t="str">
        <x:v>Seated Hip Thrust</x:v>
      </x:c>
      <x:c r="C108" s="41" t="str">
        <x:v>Burnsport</x:v>
      </x:c>
      <x:c r="D108" s="41" t="str">
        <x:v>Strength</x:v>
      </x:c>
      <x:c r="E108" s="41" t="str">
        <x:v>Strength</x:v>
      </x:c>
      <x:c r="F108" s="41" t="str">
        <x:v>Glutes</x:v>
      </x:c>
      <x:c r="G108" s="41" t="str">
        <x:v>strength_glutes</x:v>
      </x:c>
      <x:c r="H108" s="42" t="n">
        <x:v>9016</x:v>
      </x:c>
      <x:c r="I108" s="41" t="str">
        <x:v>Yes</x:v>
      </x:c>
      <x:c r="J108" s="41" t="str">
        <x:v>Use this movement priority; avoid duplicate movement filler.</x:v>
      </x:c>
    </x:row>
    <x:row r="109">
      <x:c r="A109" s="41" t="str">
        <x:v>HM-2006</x:v>
      </x:c>
      <x:c r="B109" s="41" t="str">
        <x:v>Decline Bench</x:v>
      </x:c>
      <x:c r="C109" s="41" t="str">
        <x:v>Burnsport</x:v>
      </x:c>
      <x:c r="D109" s="41" t="str">
        <x:v>Strength</x:v>
      </x:c>
      <x:c r="E109" s="41" t="str">
        <x:v>Benches</x:v>
      </x:c>
      <x:c r="F109" s="41" t="str">
        <x:v>Olympic Decline Bench</x:v>
      </x:c>
      <x:c r="G109" s="41" t="str">
        <x:v>benches_olympic_decline_bench</x:v>
      </x:c>
      <x:c r="H109" s="42" t="n">
        <x:v>3404</x:v>
      </x:c>
      <x:c r="I109" s="41" t="str">
        <x:v>Review</x:v>
      </x:c>
      <x:c r="J109" s="41" t="str">
        <x:v>No dedicated Burnsport Olympic decline bench found; HM-2006 Decline Bench is the current fallback.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064cb52adaf40b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0" hidden="0" customWidth="1"/>
    <x:col min="8" max="8" width="14" hidden="0" customWidth="1"/>
    <x:col min="9" max="9" width="58" hidden="0" customWidth="1"/>
    <x:col min="10" max="10" width="14" hidden="0" customWidth="1"/>
    <x:col min="11" max="11" width="14" hidden="0" customWidth="1"/>
  </x:cols>
  <x:sheetData>
    <x:row r="1">
      <x:c r="A1" s="5" t="str">
        <x:v>Source snapshot — EagleFlow_Product_Bulk_Update (2).xlsx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>
      <x:c r="A3" s="20" t="str">
        <x:v>Product Code</x:v>
      </x:c>
      <x:c r="B3" s="20" t="str">
        <x:v>Product Name</x:v>
      </x:c>
      <x:c r="C3" s="20" t="str">
        <x:v>Category</x:v>
      </x:c>
      <x:c r="D3" s="20" t="str">
        <x:v>Brand</x:v>
      </x:c>
      <x:c r="E3" s="20" t="str">
        <x:v>Condition</x:v>
      </x:c>
      <x:c r="F3" s="20" t="str">
        <x:v>Selling Price</x:v>
      </x:c>
      <x:c r="G3" s="20" t="str">
        <x:v>Unit</x:v>
      </x:c>
      <x:c r="H3" s="20" t="str">
        <x:v>Min Stock Level</x:v>
      </x:c>
      <x:c r="I3" s="20" t="str">
        <x:v>Description / Notes</x:v>
      </x:c>
      <x:c r="J3" s="20" t="str">
        <x:v>VAT Applicable</x:v>
      </x:c>
      <x:c r="K3" s="20" t="str">
        <x:v>Active Product</x:v>
      </x:c>
    </x:row>
    <x:row r="4">
      <x:c r="A4" s="41" t="str">
        <x:v>CN32</x:v>
      </x:c>
      <x:c r="B4" s="41" t="str">
        <x:v>Rower</x:v>
      </x:c>
      <x:c r="C4" s="41" t="str">
        <x:v>Cardio</x:v>
      </x:c>
      <x:c r="D4" s="41" t="str">
        <x:v>Concept 2</x:v>
      </x:c>
      <x:c r="E4" s="41" t="str">
        <x:v>New</x:v>
      </x:c>
      <x:c r="F4" s="42" t="n">
        <x:v>6500</x:v>
      </x:c>
      <x:c r="G4" s="41" t="str">
        <x:v>Nos</x:v>
      </x:c>
      <x:c r="H4" s="41" t="n">
        <x:v>5</x:v>
      </x:c>
      <x:c r="I4" s="41" t="str">
        <x:v>17</x:v>
      </x:c>
      <x:c r="J4" s="41" t="str">
        <x:v>Yes</x:v>
      </x:c>
      <x:c r="K4" s="41" t="str">
        <x:v>Yes</x:v>
      </x:c>
    </x:row>
    <x:row r="5">
      <x:c r="A5" s="41" t="str">
        <x:v>PR432</x:v>
      </x:c>
      <x:c r="B5" s="41" t="str">
        <x:v>Skeirg</x:v>
      </x:c>
      <x:c r="C5" s="41" t="str">
        <x:v>Cardio</x:v>
      </x:c>
      <x:c r="D5" s="41" t="str">
        <x:v>Premier</x:v>
      </x:c>
      <x:c r="E5" s="41" t="str">
        <x:v>New</x:v>
      </x:c>
      <x:c r="F5" s="42" t="n">
        <x:v>2850</x:v>
      </x:c>
      <x:c r="G5" s="41" t="str">
        <x:v>Nos</x:v>
      </x:c>
      <x:c r="H5" s="41" t="n">
        <x:v>5</x:v>
      </x:c>
      <x:c r="I5" s="41" t="str">
        <x:v>17</x:v>
      </x:c>
      <x:c r="J5" s="41" t="str">
        <x:v>Yes</x:v>
      </x:c>
      <x:c r="K5" s="41" t="str">
        <x:v>Yes</x:v>
      </x:c>
    </x:row>
    <x:row r="6">
      <x:c r="A6" s="41" t="str">
        <x:v>PR536</x:v>
      </x:c>
      <x:c r="B6" s="41" t="str">
        <x:v>Rower</x:v>
      </x:c>
      <x:c r="C6" s="41" t="str">
        <x:v>Cardio</x:v>
      </x:c>
      <x:c r="D6" s="41" t="str">
        <x:v>Premier</x:v>
      </x:c>
      <x:c r="E6" s="41" t="str">
        <x:v>New</x:v>
      </x:c>
      <x:c r="F6" s="42" t="n">
        <x:v>2750</x:v>
      </x:c>
      <x:c r="G6" s="41" t="str">
        <x:v>Nos</x:v>
      </x:c>
      <x:c r="H6" s="41" t="n">
        <x:v>5</x:v>
      </x:c>
      <x:c r="I6" s="41" t="str">
        <x:v>17</x:v>
      </x:c>
      <x:c r="J6" s="41" t="str">
        <x:v>Yes</x:v>
      </x:c>
      <x:c r="K6" s="41" t="str">
        <x:v>Yes</x:v>
      </x:c>
    </x:row>
    <x:row r="7">
      <x:c r="A7" s="41" t="str">
        <x:v>PR159</x:v>
      </x:c>
      <x:c r="B7" s="41" t="str">
        <x:v>Stair Master</x:v>
      </x:c>
      <x:c r="C7" s="41" t="str">
        <x:v>Cardio</x:v>
      </x:c>
      <x:c r="D7" s="41" t="str">
        <x:v>Premier</x:v>
      </x:c>
      <x:c r="E7" s="41" t="str">
        <x:v>New</x:v>
      </x:c>
      <x:c r="F7" s="42" t="n">
        <x:v>9500</x:v>
      </x:c>
      <x:c r="G7" s="41" t="str">
        <x:v>Nos</x:v>
      </x:c>
      <x:c r="H7" s="41" t="n">
        <x:v>5</x:v>
      </x:c>
      <x:c r="I7" s="41" t="str">
        <x:v>17</x:v>
      </x:c>
      <x:c r="J7" s="41" t="str">
        <x:v>Yes</x:v>
      </x:c>
      <x:c r="K7" s="41" t="str">
        <x:v>Yes</x:v>
      </x:c>
    </x:row>
    <x:row r="8">
      <x:c r="A8" s="41" t="str">
        <x:v>FTR30</x:v>
      </x:c>
      <x:c r="B8" s="41" t="str">
        <x:v>Functional Trainer</x:v>
      </x:c>
      <x:c r="C8" s="41" t="str">
        <x:v>Strength</x:v>
      </x:c>
      <x:c r="D8" s="41" t="str">
        <x:v>Matrix</x:v>
      </x:c>
      <x:c r="E8" s="41" t="str">
        <x:v>New</x:v>
      </x:c>
      <x:c r="F8" s="42" t="n">
        <x:v>7000</x:v>
      </x:c>
      <x:c r="G8" s="41" t="str">
        <x:v>Nos</x:v>
      </x:c>
      <x:c r="H8" s="41" t="n">
        <x:v>0</x:v>
      </x:c>
      <x:c r="I8" s="41" t="str">
        <x:v>17</x:v>
      </x:c>
      <x:c r="J8" s="41" t="str">
        <x:v>Yes</x:v>
      </x:c>
      <x:c r="K8" s="41" t="str">
        <x:v>Yes</x:v>
      </x:c>
    </x:row>
    <x:row r="9">
      <x:c r="A9" s="41" t="str">
        <x:v>FX0KLB</x:v>
      </x:c>
      <x:c r="B9" s="41" t="str">
        <x:v>Rubber Floor</x:v>
      </x:c>
      <x:c r="C9" s="41" t="str">
        <x:v>Flooring</x:v>
      </x:c>
      <x:c r="D9" s="41" t="str">
        <x:v>FloorX</x:v>
      </x:c>
      <x:c r="E9" s="41" t="str">
        <x:v>New</x:v>
      </x:c>
      <x:c r="F9" s="42" t="n">
        <x:v>65</x:v>
      </x:c>
      <x:c r="G9" s="41" t="str">
        <x:v>Nos</x:v>
      </x:c>
      <x:c r="H9" s="41" t="n">
        <x:v>0</x:v>
      </x:c>
      <x:c r="I9" s="41" t="str">
        <x:v>Size - 1m*1m | Thickness - 16mmHeavy-duty rubber flooring
High-density material
Suitable for commercial gyms</x:v>
      </x:c>
      <x:c r="J9" s="41" t="str">
        <x:v>Yes</x:v>
      </x:c>
      <x:c r="K9" s="41" t="str">
        <x:v>Yes</x:v>
      </x:c>
    </x:row>
    <x:row r="10">
      <x:c r="A10" s="41" t="str">
        <x:v>FXR02Y</x:v>
      </x:c>
      <x:c r="B10" s="41" t="str">
        <x:v>Rubber Roll - Yellow</x:v>
      </x:c>
      <x:c r="C10" s="41" t="str">
        <x:v>Flooring</x:v>
      </x:c>
      <x:c r="D10" s="41" t="str">
        <x:v>FloorX</x:v>
      </x:c>
      <x:c r="E10" s="41" t="str">
        <x:v>New</x:v>
      </x:c>
      <x:c r="F10" s="42" t="n">
        <x:v>95</x:v>
      </x:c>
      <x:c r="G10" s="41" t="str">
        <x:v>Nos</x:v>
      </x:c>
      <x:c r="H10" s="41" t="n">
        <x:v>0</x:v>
      </x:c>
      <x:c r="I10" s="41" t="str">
        <x:v>Size - 1m*1m | Thickness - 8mm | Black + 15% Yellow Fleck</x:v>
      </x:c>
      <x:c r="J10" s="41" t="str">
        <x:v>Yes</x:v>
      </x:c>
      <x:c r="K10" s="41" t="str">
        <x:v>Yes</x:v>
      </x:c>
    </x:row>
    <x:row r="11">
      <x:c r="A11" s="41" t="str">
        <x:v>FXR01W</x:v>
      </x:c>
      <x:c r="B11" s="41" t="str">
        <x:v>Rubber Roll - White</x:v>
      </x:c>
      <x:c r="C11" s="41" t="str">
        <x:v>Flooring</x:v>
      </x:c>
      <x:c r="D11" s="41" t="str">
        <x:v>FloorX</x:v>
      </x:c>
      <x:c r="E11" s="41" t="str">
        <x:v>New</x:v>
      </x:c>
      <x:c r="F11" s="42" t="n">
        <x:v>95</x:v>
      </x:c>
      <x:c r="G11" s="41" t="str">
        <x:v>Nos</x:v>
      </x:c>
      <x:c r="H11" s="41" t="n">
        <x:v>0</x:v>
      </x:c>
      <x:c r="I11" s="41" t="str">
        <x:v>Size - 1m*1m | Thickness - 8mm | Black + 15% White Fleck</x:v>
      </x:c>
      <x:c r="J11" s="41" t="str">
        <x:v>Yes</x:v>
      </x:c>
      <x:c r="K11" s="41" t="str">
        <x:v>Yes</x:v>
      </x:c>
    </x:row>
    <x:row r="12">
      <x:c r="A12" s="41" t="str">
        <x:v>FX00EG</x:v>
      </x:c>
      <x:c r="B12" s="41" t="str">
        <x:v>EPDM Floor Edge</x:v>
      </x:c>
      <x:c r="C12" s="41" t="str">
        <x:v>Flooring</x:v>
      </x:c>
      <x:c r="D12" s="41" t="str">
        <x:v>FloorX</x:v>
      </x:c>
      <x:c r="E12" s="41" t="str">
        <x:v>New</x:v>
      </x:c>
      <x:c r="F12" s="42" t="n">
        <x:v>15</x:v>
      </x:c>
      <x:c r="G12" s="41" t="str">
        <x:v>Nos</x:v>
      </x:c>
      <x:c r="H12" s="41" t="n">
        <x:v>0</x:v>
      </x:c>
      <x:c r="I12" s="41" t="str">
        <x:v>Size - 50cm*15cm | Thickness - 20mm | Black</x:v>
      </x:c>
      <x:c r="J12" s="41" t="str">
        <x:v>Yes</x:v>
      </x:c>
      <x:c r="K12" s="41" t="str">
        <x:v>Yes</x:v>
      </x:c>
    </x:row>
    <x:row r="13">
      <x:c r="A13" s="41" t="str">
        <x:v>FXT03Y</x:v>
      </x:c>
      <x:c r="B13" s="41" t="str">
        <x:v>EPDM Rubber Mat  - Yellow</x:v>
      </x:c>
      <x:c r="C13" s="41" t="str">
        <x:v>Flooring</x:v>
      </x:c>
      <x:c r="D13" s="41" t="str">
        <x:v>FloorX</x:v>
      </x:c>
      <x:c r="E13" s="41" t="str">
        <x:v>New</x:v>
      </x:c>
      <x:c r="F13" s="42" t="n">
        <x:v>100</x:v>
      </x:c>
      <x:c r="G13" s="41" t="str">
        <x:v>Nos</x:v>
      </x:c>
      <x:c r="H13" s="41" t="n">
        <x:v>0</x:v>
      </x:c>
      <x:c r="I13" s="41" t="str">
        <x:v>Size - 1m*1m | Thickness - 20mm | Black + 15% Yellow Fleck</x:v>
      </x:c>
      <x:c r="J13" s="41" t="str">
        <x:v>Yes</x:v>
      </x:c>
      <x:c r="K13" s="41" t="str">
        <x:v>Yes</x:v>
      </x:c>
    </x:row>
    <x:row r="14">
      <x:c r="A14" s="41" t="str">
        <x:v>FXT02B</x:v>
      </x:c>
      <x:c r="B14" s="41" t="str">
        <x:v>EPDM Rubber Mat  - Blue</x:v>
      </x:c>
      <x:c r="C14" s="41" t="str">
        <x:v>Flooring</x:v>
      </x:c>
      <x:c r="D14" s="41" t="str">
        <x:v>FloorX</x:v>
      </x:c>
      <x:c r="E14" s="41" t="str">
        <x:v>New</x:v>
      </x:c>
      <x:c r="F14" s="42" t="n">
        <x:v>100</x:v>
      </x:c>
      <x:c r="G14" s="41" t="str">
        <x:v>Nos</x:v>
      </x:c>
      <x:c r="H14" s="41" t="n">
        <x:v>0</x:v>
      </x:c>
      <x:c r="I14" s="41" t="str">
        <x:v>Size - 1m*1m | Thickness - 20mm | Black + 15% Blue Fleck</x:v>
      </x:c>
      <x:c r="J14" s="41" t="str">
        <x:v>Yes</x:v>
      </x:c>
      <x:c r="K14" s="41" t="str">
        <x:v>Yes</x:v>
      </x:c>
    </x:row>
    <x:row r="15">
      <x:c r="A15" s="41" t="str">
        <x:v>FXT01W</x:v>
      </x:c>
      <x:c r="B15" s="41" t="str">
        <x:v>EPDM Rubber Mat  - White</x:v>
      </x:c>
      <x:c r="C15" s="41" t="str">
        <x:v>Flooring</x:v>
      </x:c>
      <x:c r="D15" s="41" t="str">
        <x:v>FloorX</x:v>
      </x:c>
      <x:c r="E15" s="41" t="str">
        <x:v>New</x:v>
      </x:c>
      <x:c r="F15" s="42" t="n">
        <x:v>100</x:v>
      </x:c>
      <x:c r="G15" s="41" t="str">
        <x:v>Nos</x:v>
      </x:c>
      <x:c r="H15" s="41" t="n">
        <x:v>0</x:v>
      </x:c>
      <x:c r="I15" s="41" t="str">
        <x:v>Size - 1m*1m | Thickness - 20mm | Black + 15% White Fleck</x:v>
      </x:c>
      <x:c r="J15" s="41" t="str">
        <x:v>Yes</x:v>
      </x:c>
      <x:c r="K15" s="41" t="str">
        <x:v>Yes</x:v>
      </x:c>
    </x:row>
    <x:row r="16">
      <x:c r="A16" s="41" t="str">
        <x:v>PRM-1013</x:v>
      </x:c>
      <x:c r="B16" s="41" t="str">
        <x:v>Leg Press (PRM-1013)</x:v>
      </x:c>
      <x:c r="C16" s="41" t="str">
        <x:v>Strength</x:v>
      </x:c>
      <x:c r="D16" s="41" t="str">
        <x:v>Burnsport</x:v>
      </x:c>
      <x:c r="E16" s="41" t="str">
        <x:v>17</x:v>
      </x:c>
      <x:c r="F16" s="42" t="n">
        <x:v>14352</x:v>
      </x:c>
      <x:c r="G16" s="41" t="str">
        <x:v>Nos</x:v>
      </x:c>
      <x:c r="H16" s="41" t="n">
        <x:v>0</x:v>
      </x:c>
      <x:c r="I16" s="41" t="str">
        <x:v>237 × 152 × 143 cm</x:v>
      </x:c>
      <x:c r="J16" s="41" t="str">
        <x:v>Yes</x:v>
      </x:c>
      <x:c r="K16" s="41" t="str">
        <x:v>Yes</x:v>
      </x:c>
    </x:row>
    <x:row r="17">
      <x:c r="A17" s="41" t="str">
        <x:v>PRM-1007G</x:v>
      </x:c>
      <x:c r="B17" s="41" t="str">
        <x:v>Lat Pulldown (PRM-1007G)</x:v>
      </x:c>
      <x:c r="C17" s="41" t="str">
        <x:v>Strength</x:v>
      </x:c>
      <x:c r="D17" s="41" t="str">
        <x:v>Burnsport</x:v>
      </x:c>
      <x:c r="E17" s="41" t="str">
        <x:v>17</x:v>
      </x:c>
      <x:c r="F17" s="42" t="n">
        <x:v>11776</x:v>
      </x:c>
      <x:c r="G17" s="41" t="str">
        <x:v>Nos</x:v>
      </x:c>
      <x:c r="H17" s="41" t="n">
        <x:v>0</x:v>
      </x:c>
      <x:c r="I17" s="41" t="str">
        <x:v>209 × 82 × 234 cm</x:v>
      </x:c>
      <x:c r="J17" s="41" t="str">
        <x:v>Yes</x:v>
      </x:c>
      <x:c r="K17" s="41" t="str">
        <x:v>Yes</x:v>
      </x:c>
    </x:row>
    <x:row r="18">
      <x:c r="A18" s="41" t="str">
        <x:v>PRM-1008G</x:v>
      </x:c>
      <x:c r="B18" s="41" t="str">
        <x:v>Seated Row</x:v>
      </x:c>
      <x:c r="C18" s="41" t="str">
        <x:v>Strength</x:v>
      </x:c>
      <x:c r="D18" s="41" t="str">
        <x:v>Burnsport</x:v>
      </x:c>
      <x:c r="E18" s="41" t="str">
        <x:v>17</x:v>
      </x:c>
      <x:c r="F18" s="42" t="n">
        <x:v>10672</x:v>
      </x:c>
      <x:c r="G18" s="41" t="str">
        <x:v>Nos</x:v>
      </x:c>
      <x:c r="H18" s="41" t="n">
        <x:v>0</x:v>
      </x:c>
      <x:c r="I18" s="41" t="str">
        <x:v>150 × 142 × 125 cm</x:v>
      </x:c>
      <x:c r="J18" s="41" t="str">
        <x:v>Yes</x:v>
      </x:c>
      <x:c r="K18" s="41" t="str">
        <x:v>Yes</x:v>
      </x:c>
    </x:row>
    <x:row r="19">
      <x:c r="A19" s="41" t="str">
        <x:v>PRM-1009G</x:v>
      </x:c>
      <x:c r="B19" s="41" t="str">
        <x:v>Arm Curl</x:v>
      </x:c>
      <x:c r="C19" s="41" t="str">
        <x:v>Strength</x:v>
      </x:c>
      <x:c r="D19" s="41" t="str">
        <x:v>Burnsport</x:v>
      </x:c>
      <x:c r="E19" s="41" t="str">
        <x:v>17</x:v>
      </x:c>
      <x:c r="F19" s="42" t="n">
        <x:v>10672</x:v>
      </x:c>
      <x:c r="G19" s="41" t="str">
        <x:v>Nos</x:v>
      </x:c>
      <x:c r="H19" s="41" t="n">
        <x:v>0</x:v>
      </x:c>
      <x:c r="I19" s="41" t="str">
        <x:v>120 × 122 × 125 cm</x:v>
      </x:c>
      <x:c r="J19" s="41" t="str">
        <x:v>Yes</x:v>
      </x:c>
      <x:c r="K19" s="41" t="str">
        <x:v>Yes</x:v>
      </x:c>
    </x:row>
    <x:row r="20">
      <x:c r="A20" s="41" t="str">
        <x:v>PRM-1005G</x:v>
      </x:c>
      <x:c r="B20" s="41" t="str">
        <x:v>Chest Press (PRM-1005G)</x:v>
      </x:c>
      <x:c r="C20" s="41" t="str">
        <x:v>Strength</x:v>
      </x:c>
      <x:c r="D20" s="41" t="str">
        <x:v>Burnsport</x:v>
      </x:c>
      <x:c r="E20" s="41" t="str">
        <x:v>17</x:v>
      </x:c>
      <x:c r="F20" s="42" t="n">
        <x:v>11776</x:v>
      </x:c>
      <x:c r="G20" s="41" t="str">
        <x:v>Nos</x:v>
      </x:c>
      <x:c r="H20" s="41" t="n">
        <x:v>0</x:v>
      </x:c>
      <x:c r="I20" s="41" t="str">
        <x:v>188 × 188 × 137 cm</x:v>
      </x:c>
      <x:c r="J20" s="41" t="str">
        <x:v>Yes</x:v>
      </x:c>
      <x:c r="K20" s="41" t="str">
        <x:v>Yes</x:v>
      </x:c>
    </x:row>
    <x:row r="21">
      <x:c r="A21" s="41" t="str">
        <x:v>PRM-1004G</x:v>
      </x:c>
      <x:c r="B21" s="41" t="str">
        <x:v>Shoulder Press (PRM-1004G)</x:v>
      </x:c>
      <x:c r="C21" s="41" t="str">
        <x:v>Strength</x:v>
      </x:c>
      <x:c r="D21" s="41" t="str">
        <x:v>Burnsport</x:v>
      </x:c>
      <x:c r="E21" s="41" t="str">
        <x:v>17</x:v>
      </x:c>
      <x:c r="F21" s="42" t="n">
        <x:v>11776</x:v>
      </x:c>
      <x:c r="G21" s="41" t="str">
        <x:v>Nos</x:v>
      </x:c>
      <x:c r="H21" s="41" t="n">
        <x:v>0</x:v>
      </x:c>
      <x:c r="I21" s="41" t="str">
        <x:v>158 × 161 × 138 cm</x:v>
      </x:c>
      <x:c r="J21" s="41" t="str">
        <x:v>Yes</x:v>
      </x:c>
      <x:c r="K21" s="41" t="str">
        <x:v>Yes</x:v>
      </x:c>
    </x:row>
    <x:row r="22">
      <x:c r="A22" s="41" t="str">
        <x:v>PRM-1002G</x:v>
      </x:c>
      <x:c r="B22" s="41" t="str">
        <x:v>Incline Press</x:v>
      </x:c>
      <x:c r="C22" s="41" t="str">
        <x:v>Strength</x:v>
      </x:c>
      <x:c r="D22" s="41" t="str">
        <x:v>Burnsport</x:v>
      </x:c>
      <x:c r="E22" s="41" t="str">
        <x:v>17</x:v>
      </x:c>
      <x:c r="F22" s="42" t="n">
        <x:v>11776</x:v>
      </x:c>
      <x:c r="G22" s="41" t="str">
        <x:v>Nos</x:v>
      </x:c>
      <x:c r="H22" s="41" t="n">
        <x:v>0</x:v>
      </x:c>
      <x:c r="I22" s="41" t="str">
        <x:v>188 × 178 × 140 cm</x:v>
      </x:c>
      <x:c r="J22" s="41" t="str">
        <x:v>Yes</x:v>
      </x:c>
      <x:c r="K22" s="41" t="str">
        <x:v>Yes</x:v>
      </x:c>
    </x:row>
    <x:row r="23">
      <x:c r="A23" s="41" t="str">
        <x:v>PRM-1002</x:v>
      </x:c>
      <x:c r="B23" s="41" t="str">
        <x:v>Incline Press Press Plate</x:v>
      </x:c>
      <x:c r="C23" s="41" t="str">
        <x:v>Strength</x:v>
      </x:c>
      <x:c r="D23" s="41" t="str">
        <x:v>Burnsport</x:v>
      </x:c>
      <x:c r="E23" s="41" t="str">
        <x:v>17</x:v>
      </x:c>
      <x:c r="F23" s="42" t="n">
        <x:v>11776</x:v>
      </x:c>
      <x:c r="G23" s="41" t="str">
        <x:v>Nos</x:v>
      </x:c>
      <x:c r="H23" s="41" t="n">
        <x:v>0</x:v>
      </x:c>
      <x:c r="I23" s="41" t="str">
        <x:v>188 × 178 × 140 cm</x:v>
      </x:c>
      <x:c r="J23" s="41" t="str">
        <x:v>Yes</x:v>
      </x:c>
      <x:c r="K23" s="41" t="str">
        <x:v>Yes</x:v>
      </x:c>
    </x:row>
    <x:row r="24">
      <x:c r="A24" s="41" t="str">
        <x:v>PRM-1009</x:v>
      </x:c>
      <x:c r="B24" s="41" t="str">
        <x:v>Arm Curl (PRM-1009)</x:v>
      </x:c>
      <x:c r="C24" s="41" t="str">
        <x:v>Strength</x:v>
      </x:c>
      <x:c r="D24" s="41" t="str">
        <x:v>Burnsport</x:v>
      </x:c>
      <x:c r="E24" s="41" t="str">
        <x:v>17</x:v>
      </x:c>
      <x:c r="F24" s="42" t="n">
        <x:v>10672</x:v>
      </x:c>
      <x:c r="G24" s="41" t="str">
        <x:v>Nos</x:v>
      </x:c>
      <x:c r="H24" s="41" t="n">
        <x:v>0</x:v>
      </x:c>
      <x:c r="I24" s="41" t="str">
        <x:v>120 × 122 × 125 cm</x:v>
      </x:c>
      <x:c r="J24" s="41" t="str">
        <x:v>Yes</x:v>
      </x:c>
      <x:c r="K24" s="41" t="str">
        <x:v>Yes</x:v>
      </x:c>
    </x:row>
    <x:row r="25">
      <x:c r="A25" s="41" t="str">
        <x:v>PRM-1005</x:v>
      </x:c>
      <x:c r="B25" s="41" t="str">
        <x:v>Chest Press Plate</x:v>
      </x:c>
      <x:c r="C25" s="41" t="str">
        <x:v>Strength</x:v>
      </x:c>
      <x:c r="D25" s="41" t="str">
        <x:v>Burnsport</x:v>
      </x:c>
      <x:c r="E25" s="41" t="str">
        <x:v>17</x:v>
      </x:c>
      <x:c r="F25" s="42" t="n">
        <x:v>11776</x:v>
      </x:c>
      <x:c r="G25" s="41" t="str">
        <x:v>Nos</x:v>
      </x:c>
      <x:c r="H25" s="41" t="n">
        <x:v>0</x:v>
      </x:c>
      <x:c r="I25" s="41" t="str">
        <x:v>188 × 188 × 137 cm</x:v>
      </x:c>
      <x:c r="J25" s="41" t="str">
        <x:v>Yes</x:v>
      </x:c>
      <x:c r="K25" s="41" t="str">
        <x:v>Yes</x:v>
      </x:c>
    </x:row>
    <x:row r="26">
      <x:c r="A26" s="41" t="str">
        <x:v>PRM-1012</x:v>
      </x:c>
      <x:c r="B26" s="41" t="str">
        <x:v>Extreme Row</x:v>
      </x:c>
      <x:c r="C26" s="41" t="str">
        <x:v>Strength</x:v>
      </x:c>
      <x:c r="D26" s="41" t="str">
        <x:v>Burnsport</x:v>
      </x:c>
      <x:c r="E26" s="41" t="str">
        <x:v>17</x:v>
      </x:c>
      <x:c r="F26" s="42" t="n">
        <x:v>11776</x:v>
      </x:c>
      <x:c r="G26" s="41" t="str">
        <x:v>Nos</x:v>
      </x:c>
      <x:c r="H26" s="41" t="n">
        <x:v>0</x:v>
      </x:c>
      <x:c r="I26" s="41" t="str">
        <x:v>199 × 163 × 138 cm</x:v>
      </x:c>
      <x:c r="J26" s="41" t="str">
        <x:v>Yes</x:v>
      </x:c>
      <x:c r="K26" s="41" t="str">
        <x:v>Yes</x:v>
      </x:c>
    </x:row>
    <x:row r="27">
      <x:c r="A27" s="41" t="str">
        <x:v>PNT-1013</x:v>
      </x:c>
      <x:c r="B27" s="41" t="str">
        <x:v>Power Smith Machine Dual System Upper</x:v>
      </x:c>
      <x:c r="C27" s="41" t="str">
        <x:v>Strength</x:v>
      </x:c>
      <x:c r="D27" s="41" t="str">
        <x:v>Burnsport</x:v>
      </x:c>
      <x:c r="E27" s="41" t="str">
        <x:v>17</x:v>
      </x:c>
      <x:c r="F27" s="42" t="n">
        <x:v>12742</x:v>
      </x:c>
      <x:c r="G27" s="41" t="str">
        <x:v>Nos</x:v>
      </x:c>
      <x:c r="H27" s="41" t="n">
        <x:v>0</x:v>
      </x:c>
      <x:c r="I27" s="41" t="str">
        <x:v>190 × 170 × 200 cm</x:v>
      </x:c>
      <x:c r="J27" s="41" t="str">
        <x:v>Yes</x:v>
      </x:c>
      <x:c r="K27" s="41" t="str">
        <x:v>Yes</x:v>
      </x:c>
    </x:row>
    <x:row r="28">
      <x:c r="A28" s="41" t="str">
        <x:v>PRM-1007</x:v>
      </x:c>
      <x:c r="B28" s="41" t="str">
        <x:v>Lat Pulldown (PRM-1007)</x:v>
      </x:c>
      <x:c r="C28" s="41" t="str">
        <x:v>Strength</x:v>
      </x:c>
      <x:c r="D28" s="41" t="str">
        <x:v>Burnsport</x:v>
      </x:c>
      <x:c r="E28" s="41" t="str">
        <x:v>17</x:v>
      </x:c>
      <x:c r="F28" s="42" t="n">
        <x:v>11776</x:v>
      </x:c>
      <x:c r="G28" s="41" t="str">
        <x:v>Nos</x:v>
      </x:c>
      <x:c r="H28" s="41" t="n">
        <x:v>0</x:v>
      </x:c>
      <x:c r="I28" s="41" t="str">
        <x:v>209 × 82 × 234 cm</x:v>
      </x:c>
      <x:c r="J28" s="41" t="str">
        <x:v>Yes</x:v>
      </x:c>
      <x:c r="K28" s="41" t="str">
        <x:v>Yes</x:v>
      </x:c>
    </x:row>
    <x:row r="29">
      <x:c r="A29" s="41" t="str">
        <x:v>PRM-1004</x:v>
      </x:c>
      <x:c r="B29" s="41" t="str">
        <x:v>Shoulder Press Plate</x:v>
      </x:c>
      <x:c r="C29" s="41" t="str">
        <x:v>Strength</x:v>
      </x:c>
      <x:c r="D29" s="41" t="str">
        <x:v>Burnsport</x:v>
      </x:c>
      <x:c r="E29" s="41" t="str">
        <x:v>17</x:v>
      </x:c>
      <x:c r="F29" s="42" t="n">
        <x:v>11776</x:v>
      </x:c>
      <x:c r="G29" s="41" t="str">
        <x:v>Nos</x:v>
      </x:c>
      <x:c r="H29" s="41" t="n">
        <x:v>0</x:v>
      </x:c>
      <x:c r="I29" s="41" t="str">
        <x:v>158 × 161 × 138 cm</x:v>
      </x:c>
      <x:c r="J29" s="41" t="str">
        <x:v>Yes</x:v>
      </x:c>
      <x:c r="K29" s="41" t="str">
        <x:v>Yes</x:v>
      </x:c>
    </x:row>
    <x:row r="30">
      <x:c r="A30" s="41" t="str">
        <x:v>PRM-1008</x:v>
      </x:c>
      <x:c r="B30" s="41" t="str">
        <x:v>Seated Row (PRM-1008)</x:v>
      </x:c>
      <x:c r="C30" s="41" t="str">
        <x:v>Strength</x:v>
      </x:c>
      <x:c r="D30" s="41" t="str">
        <x:v>Burnsport</x:v>
      </x:c>
      <x:c r="E30" s="41" t="str">
        <x:v>17</x:v>
      </x:c>
      <x:c r="F30" s="42" t="n">
        <x:v>10672</x:v>
      </x:c>
      <x:c r="G30" s="41" t="str">
        <x:v>Nos</x:v>
      </x:c>
      <x:c r="H30" s="41" t="n">
        <x:v>0</x:v>
      </x:c>
      <x:c r="I30" s="41" t="str">
        <x:v>150 × 142 × 125 cm</x:v>
      </x:c>
      <x:c r="J30" s="41" t="str">
        <x:v>Yes</x:v>
      </x:c>
      <x:c r="K30" s="41" t="str">
        <x:v>Yes</x:v>
      </x:c>
    </x:row>
    <x:row r="31">
      <x:c r="A31" s="41" t="str">
        <x:v>PNT-1012</x:v>
      </x:c>
      <x:c r="B31" s="41" t="str">
        <x:v>Power Smith Machine Dual System</x:v>
      </x:c>
      <x:c r="C31" s="41" t="str">
        <x:v>Strength</x:v>
      </x:c>
      <x:c r="D31" s="41" t="str">
        <x:v>Burnsport</x:v>
      </x:c>
      <x:c r="E31" s="41" t="str">
        <x:v>17</x:v>
      </x:c>
      <x:c r="F31" s="42" t="n">
        <x:v>12742</x:v>
      </x:c>
      <x:c r="G31" s="41" t="str">
        <x:v>Nos</x:v>
      </x:c>
      <x:c r="H31" s="41" t="n">
        <x:v>0</x:v>
      </x:c>
      <x:c r="I31" s="41" t="str">
        <x:v>195 × 170 × 150 cm</x:v>
      </x:c>
      <x:c r="J31" s="41" t="str">
        <x:v>Yes</x:v>
      </x:c>
      <x:c r="K31" s="41" t="str">
        <x:v>Yes</x:v>
      </x:c>
    </x:row>
    <x:row r="32">
      <x:c r="A32" s="41" t="str">
        <x:v>LJ-5003-M04</x:v>
      </x:c>
      <x:c r="B32" s="41" t="str">
        <x:v>Multi-Jungle Low Row</x:v>
      </x:c>
      <x:c r="C32" s="41" t="str">
        <x:v>Strength</x:v>
      </x:c>
      <x:c r="D32" s="41" t="str">
        <x:v>Burnsport</x:v>
      </x:c>
      <x:c r="E32" s="41" t="str">
        <x:v>17</x:v>
      </x:c>
      <x:c r="F32" s="42" t="n">
        <x:v>7764.8</x:v>
      </x:c>
      <x:c r="G32" s="41" t="str">
        <x:v>Nos</x:v>
      </x:c>
      <x:c r="H32" s="41" t="n">
        <x:v>0</x:v>
      </x:c>
      <x:c r="I32" s="41" t="str">
        <x:v>17</x:v>
      </x:c>
      <x:c r="J32" s="41" t="str">
        <x:v>Yes</x:v>
      </x:c>
      <x:c r="K32" s="41" t="str">
        <x:v>Yes</x:v>
      </x:c>
    </x:row>
    <x:row r="33">
      <x:c r="A33" s="41" t="str">
        <x:v>LJ-5003-M11</x:v>
      </x:c>
      <x:c r="B33" s="41" t="str">
        <x:v>Multi-Jungle Handle Accessory Rack</x:v>
      </x:c>
      <x:c r="C33" s="41" t="str">
        <x:v>Strength</x:v>
      </x:c>
      <x:c r="D33" s="41" t="str">
        <x:v>Burnsport</x:v>
      </x:c>
      <x:c r="E33" s="41" t="str">
        <x:v>17</x:v>
      </x:c>
      <x:c r="F33" s="42" t="n">
        <x:v>1260.4</x:v>
      </x:c>
      <x:c r="G33" s="41" t="str">
        <x:v>Nos</x:v>
      </x:c>
      <x:c r="H33" s="41" t="n">
        <x:v>0</x:v>
      </x:c>
      <x:c r="I33" s="41" t="str">
        <x:v>17</x:v>
      </x:c>
      <x:c r="J33" s="41" t="str">
        <x:v>Yes</x:v>
      </x:c>
      <x:c r="K33" s="41" t="str">
        <x:v>Yes</x:v>
      </x:c>
    </x:row>
    <x:row r="34">
      <x:c r="A34" s="41" t="str">
        <x:v>LJ-5003-M05</x:v>
      </x:c>
      <x:c r="B34" s="41" t="str">
        <x:v>Multi-Jungle Dual Pulley Pulldown</x:v>
      </x:c>
      <x:c r="C34" s="41" t="str">
        <x:v>Strength</x:v>
      </x:c>
      <x:c r="D34" s="41" t="str">
        <x:v>Burnsport</x:v>
      </x:c>
      <x:c r="E34" s="41" t="str">
        <x:v>17</x:v>
      </x:c>
      <x:c r="F34" s="42" t="n">
        <x:v>7672.8</x:v>
      </x:c>
      <x:c r="G34" s="41" t="str">
        <x:v>Nos</x:v>
      </x:c>
      <x:c r="H34" s="41" t="n">
        <x:v>0</x:v>
      </x:c>
      <x:c r="I34" s="41" t="str">
        <x:v>17</x:v>
      </x:c>
      <x:c r="J34" s="41" t="str">
        <x:v>Yes</x:v>
      </x:c>
      <x:c r="K34" s="41" t="str">
        <x:v>Yes</x:v>
      </x:c>
    </x:row>
    <x:row r="35">
      <x:c r="A35" s="41" t="str">
        <x:v>LJ-5003-M08</x:v>
      </x:c>
      <x:c r="B35" s="41" t="str">
        <x:v>Multi-Jungle Adjustable Crossover Connects Core</x:v>
      </x:c>
      <x:c r="C35" s="41" t="str">
        <x:v>Strength</x:v>
      </x:c>
      <x:c r="D35" s="41" t="str">
        <x:v>Burnsport</x:v>
      </x:c>
      <x:c r="E35" s="41" t="str">
        <x:v>17</x:v>
      </x:c>
      <x:c r="F35" s="42" t="n">
        <x:v>15262.8</x:v>
      </x:c>
      <x:c r="G35" s="41" t="str">
        <x:v>Nos</x:v>
      </x:c>
      <x:c r="H35" s="41" t="n">
        <x:v>0</x:v>
      </x:c>
      <x:c r="I35" s="41" t="str">
        <x:v>17</x:v>
      </x:c>
      <x:c r="J35" s="41" t="str">
        <x:v>Yes</x:v>
      </x:c>
      <x:c r="K35" s="41" t="str">
        <x:v>Yes</x:v>
      </x:c>
    </x:row>
    <x:row r="36">
      <x:c r="A36" s="41" t="str">
        <x:v>LJ-5003-M10</x:v>
      </x:c>
      <x:c r="B36" s="41" t="str">
        <x:v>Multi-Jungle Assist Dip Chin</x:v>
      </x:c>
      <x:c r="C36" s="41" t="str">
        <x:v>Strength</x:v>
      </x:c>
      <x:c r="D36" s="41" t="str">
        <x:v>Burnsport</x:v>
      </x:c>
      <x:c r="E36" s="41" t="str">
        <x:v>17</x:v>
      </x:c>
      <x:c r="F36" s="42" t="n">
        <x:v>14048.4</x:v>
      </x:c>
      <x:c r="G36" s="41" t="str">
        <x:v>Nos</x:v>
      </x:c>
      <x:c r="H36" s="41" t="n">
        <x:v>0</x:v>
      </x:c>
      <x:c r="I36" s="41" t="str">
        <x:v>17</x:v>
      </x:c>
      <x:c r="J36" s="41" t="str">
        <x:v>Yes</x:v>
      </x:c>
      <x:c r="K36" s="41" t="str">
        <x:v>Yes</x:v>
      </x:c>
    </x:row>
    <x:row r="37">
      <x:c r="A37" s="41" t="str">
        <x:v>LJ-5003-M06</x:v>
      </x:c>
      <x:c r="B37" s="41" t="str">
        <x:v>Multi-Jungle Lat Pulldown</x:v>
      </x:c>
      <x:c r="C37" s="41" t="str">
        <x:v>Strength</x:v>
      </x:c>
      <x:c r="D37" s="41" t="str">
        <x:v>Burnsport</x:v>
      </x:c>
      <x:c r="E37" s="41" t="str">
        <x:v>17</x:v>
      </x:c>
      <x:c r="F37" s="42" t="n">
        <x:v>7369.2</x:v>
      </x:c>
      <x:c r="G37" s="41" t="str">
        <x:v>Nos</x:v>
      </x:c>
      <x:c r="H37" s="41" t="n">
        <x:v>0</x:v>
      </x:c>
      <x:c r="I37" s="41" t="str">
        <x:v>17</x:v>
      </x:c>
      <x:c r="J37" s="41" t="str">
        <x:v>Yes</x:v>
      </x:c>
      <x:c r="K37" s="41" t="str">
        <x:v>Yes</x:v>
      </x:c>
    </x:row>
    <x:row r="38">
      <x:c r="A38" s="41" t="str">
        <x:v>LJ-5003-M09</x:v>
      </x:c>
      <x:c r="B38" s="41" t="str">
        <x:v>Multi-Jungle Adjustable Crossover</x:v>
      </x:c>
      <x:c r="C38" s="41" t="str">
        <x:v>Strength</x:v>
      </x:c>
      <x:c r="D38" s="41" t="str">
        <x:v>Burnsport</x:v>
      </x:c>
      <x:c r="E38" s="41" t="str">
        <x:v>17</x:v>
      </x:c>
      <x:c r="F38" s="42" t="n">
        <x:v>18216</x:v>
      </x:c>
      <x:c r="G38" s="41" t="str">
        <x:v>Nos</x:v>
      </x:c>
      <x:c r="H38" s="41" t="n">
        <x:v>0</x:v>
      </x:c>
      <x:c r="I38" s="41" t="str">
        <x:v>17</x:v>
      </x:c>
      <x:c r="J38" s="41" t="str">
        <x:v>Yes</x:v>
      </x:c>
      <x:c r="K38" s="41" t="str">
        <x:v>Yes</x:v>
      </x:c>
    </x:row>
    <x:row r="39">
      <x:c r="A39" s="41" t="str">
        <x:v>LJ-5003-M03</x:v>
      </x:c>
      <x:c r="B39" s="41" t="str">
        <x:v>Multi-Jungle Dual Pulley Row</x:v>
      </x:c>
      <x:c r="C39" s="41" t="str">
        <x:v>Strength</x:v>
      </x:c>
      <x:c r="D39" s="41" t="str">
        <x:v>Burnsport</x:v>
      </x:c>
      <x:c r="E39" s="41" t="str">
        <x:v>17</x:v>
      </x:c>
      <x:c r="F39" s="42" t="n">
        <x:v>7866</x:v>
      </x:c>
      <x:c r="G39" s="41" t="str">
        <x:v>Nos</x:v>
      </x:c>
      <x:c r="H39" s="41" t="n">
        <x:v>0</x:v>
      </x:c>
      <x:c r="I39" s="41" t="str">
        <x:v>17</x:v>
      </x:c>
      <x:c r="J39" s="41" t="str">
        <x:v>Yes</x:v>
      </x:c>
      <x:c r="K39" s="41" t="str">
        <x:v>Yes</x:v>
      </x:c>
    </x:row>
    <x:row r="40">
      <x:c r="A40" s="41" t="str">
        <x:v>LJ-5003-M07</x:v>
      </x:c>
      <x:c r="B40" s="41" t="str">
        <x:v>Multi-Jungle Adjustable Pulley</x:v>
      </x:c>
      <x:c r="C40" s="41" t="str">
        <x:v>Strength</x:v>
      </x:c>
      <x:c r="D40" s="41" t="str">
        <x:v>Burnsport</x:v>
      </x:c>
      <x:c r="E40" s="41" t="str">
        <x:v>17</x:v>
      </x:c>
      <x:c r="F40" s="42" t="n">
        <x:v>5713.2</x:v>
      </x:c>
      <x:c r="G40" s="41" t="str">
        <x:v>Nos</x:v>
      </x:c>
      <x:c r="H40" s="41" t="n">
        <x:v>0</x:v>
      </x:c>
      <x:c r="I40" s="41" t="str">
        <x:v>17</x:v>
      </x:c>
      <x:c r="J40" s="41" t="str">
        <x:v>Yes</x:v>
      </x:c>
      <x:c r="K40" s="41" t="str">
        <x:v>Yes</x:v>
      </x:c>
    </x:row>
    <x:row r="41">
      <x:c r="A41" s="41" t="str">
        <x:v>LJ-5003C</x:v>
      </x:c>
      <x:c r="B41" s="41" t="str">
        <x:v>Multi-jungle 16 Station</x:v>
      </x:c>
      <x:c r="C41" s="41" t="str">
        <x:v>Strength</x:v>
      </x:c>
      <x:c r="D41" s="41" t="str">
        <x:v>Burnsport</x:v>
      </x:c>
      <x:c r="E41" s="41" t="str">
        <x:v>17</x:v>
      </x:c>
      <x:c r="F41" s="42" t="n">
        <x:v>131385.2</x:v>
      </x:c>
      <x:c r="G41" s="41" t="str">
        <x:v>Nos</x:v>
      </x:c>
      <x:c r="H41" s="41" t="n">
        <x:v>0</x:v>
      </x:c>
      <x:c r="I41" s="41" t="str">
        <x:v>741.27 × 741.17 × 48.58 cm</x:v>
      </x:c>
      <x:c r="J41" s="41" t="str">
        <x:v>Yes</x:v>
      </x:c>
      <x:c r="K41" s="41" t="str">
        <x:v>Yes</x:v>
      </x:c>
    </x:row>
    <x:row r="42">
      <x:c r="A42" s="41" t="str">
        <x:v>LJ-5006</x:v>
      </x:c>
      <x:c r="B42" s="41" t="str">
        <x:v>Multi-jungle Assist Dip Chin (LJ-5006)</x:v>
      </x:c>
      <x:c r="C42" s="41" t="str">
        <x:v>Strength</x:v>
      </x:c>
      <x:c r="D42" s="41" t="str">
        <x:v>Burnsport</x:v>
      </x:c>
      <x:c r="E42" s="41" t="str">
        <x:v>17</x:v>
      </x:c>
      <x:c r="F42" s="42" t="n">
        <x:v>15511.2</x:v>
      </x:c>
      <x:c r="G42" s="41" t="str">
        <x:v>Nos</x:v>
      </x:c>
      <x:c r="H42" s="41" t="n">
        <x:v>0</x:v>
      </x:c>
      <x:c r="I42" s="41" t="str">
        <x:v>190.5 × 115.6 × 248.6 cm</x:v>
      </x:c>
      <x:c r="J42" s="41" t="str">
        <x:v>Yes</x:v>
      </x:c>
      <x:c r="K42" s="41" t="str">
        <x:v>Yes</x:v>
      </x:c>
    </x:row>
    <x:row r="43">
      <x:c r="A43" s="41" t="str">
        <x:v>LJ-5003A</x:v>
      </x:c>
      <x:c r="B43" s="41" t="str">
        <x:v>Multi-jungle 8 Station (With Assist Dip Chin)</x:v>
      </x:c>
      <x:c r="C43" s="41" t="str">
        <x:v>Strength</x:v>
      </x:c>
      <x:c r="D43" s="41" t="str">
        <x:v>Burnsport</x:v>
      </x:c>
      <x:c r="E43" s="41" t="str">
        <x:v>17</x:v>
      </x:c>
      <x:c r="F43" s="42" t="n">
        <x:v>63719.2</x:v>
      </x:c>
      <x:c r="G43" s="41" t="str">
        <x:v>Nos</x:v>
      </x:c>
      <x:c r="H43" s="41" t="n">
        <x:v>0</x:v>
      </x:c>
      <x:c r="I43" s="41" t="str">
        <x:v>622.1 × 364.27 × 248.63 cm</x:v>
      </x:c>
      <x:c r="J43" s="41" t="str">
        <x:v>Yes</x:v>
      </x:c>
      <x:c r="K43" s="41" t="str">
        <x:v>Yes</x:v>
      </x:c>
    </x:row>
    <x:row r="44">
      <x:c r="A44" s="41" t="str">
        <x:v>LJ-5003</x:v>
      </x:c>
      <x:c r="B44" s="41" t="str">
        <x:v>Multi-jungle 8 Station</x:v>
      </x:c>
      <x:c r="C44" s="41" t="str">
        <x:v>Strength</x:v>
      </x:c>
      <x:c r="D44" s="41" t="str">
        <x:v>Burnsport</x:v>
      </x:c>
      <x:c r="E44" s="41" t="str">
        <x:v>17</x:v>
      </x:c>
      <x:c r="F44" s="42" t="n">
        <x:v>54500.8</x:v>
      </x:c>
      <x:c r="G44" s="41" t="str">
        <x:v>Nos</x:v>
      </x:c>
      <x:c r="H44" s="41" t="n">
        <x:v>0</x:v>
      </x:c>
      <x:c r="I44" s="41" t="str">
        <x:v>561 × 364 × 239 cm</x:v>
      </x:c>
      <x:c r="J44" s="41" t="str">
        <x:v>Yes</x:v>
      </x:c>
      <x:c r="K44" s="41" t="str">
        <x:v>Yes</x:v>
      </x:c>
    </x:row>
    <x:row r="45">
      <x:c r="A45" s="41" t="str">
        <x:v>LJ-5004</x:v>
      </x:c>
      <x:c r="B45" s="41" t="str">
        <x:v>Multi-jungle 5 Station</x:v>
      </x:c>
      <x:c r="C45" s="41" t="str">
        <x:v>Strength</x:v>
      </x:c>
      <x:c r="D45" s="41" t="str">
        <x:v>Burnsport</x:v>
      </x:c>
      <x:c r="E45" s="41" t="str">
        <x:v>17</x:v>
      </x:c>
      <x:c r="F45" s="42" t="n">
        <x:v>38557.2</x:v>
      </x:c>
      <x:c r="G45" s="41" t="str">
        <x:v>Nos</x:v>
      </x:c>
      <x:c r="H45" s="41" t="n">
        <x:v>0</x:v>
      </x:c>
      <x:c r="I45" s="41" t="str">
        <x:v>498 × 364 × 239 cm</x:v>
      </x:c>
      <x:c r="J45" s="41" t="str">
        <x:v>Yes</x:v>
      </x:c>
      <x:c r="K45" s="41" t="str">
        <x:v>Yes</x:v>
      </x:c>
    </x:row>
    <x:row r="46">
      <x:c r="A46" s="41" t="str">
        <x:v>LJ-5003-M01</x:v>
      </x:c>
      <x:c r="B46" s="41" t="str">
        <x:v>Multi-Jungle Core Tower</x:v>
      </x:c>
      <x:c r="C46" s="41" t="str">
        <x:v>Strength</x:v>
      </x:c>
      <x:c r="D46" s="41" t="str">
        <x:v>Burnsport</x:v>
      </x:c>
      <x:c r="E46" s="41" t="str">
        <x:v>17</x:v>
      </x:c>
      <x:c r="F46" s="42" t="n">
        <x:v>5124.4</x:v>
      </x:c>
      <x:c r="G46" s="41" t="str">
        <x:v>Nos</x:v>
      </x:c>
      <x:c r="H46" s="41" t="n">
        <x:v>0</x:v>
      </x:c>
      <x:c r="I46" s="41" t="str">
        <x:v>17</x:v>
      </x:c>
      <x:c r="J46" s="41" t="str">
        <x:v>Yes</x:v>
      </x:c>
      <x:c r="K46" s="41" t="str">
        <x:v>Yes</x:v>
      </x:c>
    </x:row>
    <x:row r="47">
      <x:c r="A47" s="41" t="str">
        <x:v>LJ-5003-M02</x:v>
      </x:c>
      <x:c r="B47" s="41" t="str">
        <x:v>Multi-Jungle Triceps Pushdown</x:v>
      </x:c>
      <x:c r="C47" s="41" t="str">
        <x:v>Strength</x:v>
      </x:c>
      <x:c r="D47" s="41" t="str">
        <x:v>Burnsport</x:v>
      </x:c>
      <x:c r="E47" s="41" t="str">
        <x:v>17</x:v>
      </x:c>
      <x:c r="F47" s="42" t="n">
        <x:v>4830</x:v>
      </x:c>
      <x:c r="G47" s="41" t="str">
        <x:v>Nos</x:v>
      </x:c>
      <x:c r="H47" s="41" t="n">
        <x:v>0</x:v>
      </x:c>
      <x:c r="I47" s="41" t="str">
        <x:v>17</x:v>
      </x:c>
      <x:c r="J47" s="41" t="str">
        <x:v>Yes</x:v>
      </x:c>
      <x:c r="K47" s="41" t="str">
        <x:v>Yes</x:v>
      </x:c>
    </x:row>
    <x:row r="48">
      <x:c r="A48" s="41" t="str">
        <x:v>LJ-5005</x:v>
      </x:c>
      <x:c r="B48" s="41" t="str">
        <x:v>Multi-jungle 4 Station</x:v>
      </x:c>
      <x:c r="C48" s="41" t="str">
        <x:v>Strength</x:v>
      </x:c>
      <x:c r="D48" s="41" t="str">
        <x:v>Burnsport</x:v>
      </x:c>
      <x:c r="E48" s="41" t="str">
        <x:v>17</x:v>
      </x:c>
      <x:c r="F48" s="42" t="n">
        <x:v>27250.4</x:v>
      </x:c>
      <x:c r="G48" s="41" t="str">
        <x:v>Nos</x:v>
      </x:c>
      <x:c r="H48" s="41" t="n">
        <x:v>0</x:v>
      </x:c>
      <x:c r="I48" s="41" t="str">
        <x:v>364 × 188 × 239 cm</x:v>
      </x:c>
      <x:c r="J48" s="41" t="str">
        <x:v>Yes</x:v>
      </x:c>
      <x:c r="K48" s="41" t="str">
        <x:v>Yes</x:v>
      </x:c>
    </x:row>
    <x:row r="49">
      <x:c r="A49" s="41" t="str">
        <x:v>LJ-5003B</x:v>
      </x:c>
      <x:c r="B49" s="41" t="str">
        <x:v>Multi-jungle 12 Station</x:v>
      </x:c>
      <x:c r="C49" s="41" t="str">
        <x:v>Strength</x:v>
      </x:c>
      <x:c r="D49" s="41" t="str">
        <x:v>Burnsport</x:v>
      </x:c>
      <x:c r="E49" s="41" t="str">
        <x:v>17</x:v>
      </x:c>
      <x:c r="F49" s="42" t="n">
        <x:v>95689.2</x:v>
      </x:c>
      <x:c r="G49" s="41" t="str">
        <x:v>Nos</x:v>
      </x:c>
      <x:c r="H49" s="41" t="n">
        <x:v>0</x:v>
      </x:c>
      <x:c r="I49" s="41" t="str">
        <x:v>622.1 × 364.27 × 248.63 cm</x:v>
      </x:c>
      <x:c r="J49" s="41" t="str">
        <x:v>Yes</x:v>
      </x:c>
      <x:c r="K49" s="41" t="str">
        <x:v>Yes</x:v>
      </x:c>
    </x:row>
    <x:row r="50">
      <x:c r="A50" s="41" t="str">
        <x:v>RS-3021</x:v>
      </x:c>
      <x:c r="B50" s="41" t="str">
        <x:v>Seal Row (without Bearing Bar)</x:v>
      </x:c>
      <x:c r="C50" s="41" t="str">
        <x:v>Strength</x:v>
      </x:c>
      <x:c r="D50" s="41" t="str">
        <x:v>Burnsport</x:v>
      </x:c>
      <x:c r="E50" s="41" t="str">
        <x:v>17</x:v>
      </x:c>
      <x:c r="F50" s="42" t="n">
        <x:v>8675.6</x:v>
      </x:c>
      <x:c r="G50" s="41" t="str">
        <x:v>Nos</x:v>
      </x:c>
      <x:c r="H50" s="41" t="n">
        <x:v>0</x:v>
      </x:c>
      <x:c r="I50" s="41" t="str">
        <x:v>221 × 162.1 × 99.8 cm</x:v>
      </x:c>
      <x:c r="J50" s="41" t="str">
        <x:v>Yes</x:v>
      </x:c>
      <x:c r="K50" s="41" t="str">
        <x:v>Yes</x:v>
      </x:c>
    </x:row>
    <x:row r="51">
      <x:c r="A51" s="41" t="str">
        <x:v>LJ-5002</x:v>
      </x:c>
      <x:c r="B51" s="41" t="str">
        <x:v>Adjustable Crossover</x:v>
      </x:c>
      <x:c r="C51" s="41" t="str">
        <x:v>Strength</x:v>
      </x:c>
      <x:c r="D51" s="41" t="str">
        <x:v>Burnsport</x:v>
      </x:c>
      <x:c r="E51" s="41" t="str">
        <x:v>17</x:v>
      </x:c>
      <x:c r="F51" s="42" t="n">
        <x:v>21141.6</x:v>
      </x:c>
      <x:c r="G51" s="41" t="str">
        <x:v>Nos</x:v>
      </x:c>
      <x:c r="H51" s="41" t="n">
        <x:v>0</x:v>
      </x:c>
      <x:c r="I51" s="41" t="str">
        <x:v>426 × 79 × 239 cm</x:v>
      </x:c>
      <x:c r="J51" s="41" t="str">
        <x:v>Yes</x:v>
      </x:c>
      <x:c r="K51" s="41" t="str">
        <x:v>Yes</x:v>
      </x:c>
    </x:row>
    <x:row r="52">
      <x:c r="A52" s="41" t="str">
        <x:v>RS-3022</x:v>
      </x:c>
      <x:c r="B52" s="41" t="str">
        <x:v>Standing Calf Raise (RS-3022)</x:v>
      </x:c>
      <x:c r="C52" s="41" t="str">
        <x:v>Strength</x:v>
      </x:c>
      <x:c r="D52" s="41" t="str">
        <x:v>Burnsport</x:v>
      </x:c>
      <x:c r="E52" s="41" t="str">
        <x:v>17</x:v>
      </x:c>
      <x:c r="F52" s="42" t="n">
        <x:v>13928.8</x:v>
      </x:c>
      <x:c r="G52" s="41" t="str">
        <x:v>Nos</x:v>
      </x:c>
      <x:c r="H52" s="41" t="n">
        <x:v>0</x:v>
      </x:c>
      <x:c r="I52" s="41" t="str">
        <x:v>17</x:v>
      </x:c>
      <x:c r="J52" s="41" t="str">
        <x:v>Yes</x:v>
      </x:c>
      <x:c r="K52" s="41" t="str">
        <x:v>Yes</x:v>
      </x:c>
    </x:row>
    <x:row r="53">
      <x:c r="A53" s="41" t="str">
        <x:v>RS-3027</x:v>
      </x:c>
      <x:c r="B53" s="41" t="str">
        <x:v>Seated Shoulder Press</x:v>
      </x:c>
      <x:c r="C53" s="41" t="str">
        <x:v>Strength</x:v>
      </x:c>
      <x:c r="D53" s="41" t="str">
        <x:v>Burnsport</x:v>
      </x:c>
      <x:c r="E53" s="41" t="str">
        <x:v>17</x:v>
      </x:c>
      <x:c r="F53" s="42" t="n">
        <x:v>11776</x:v>
      </x:c>
      <x:c r="G53" s="41" t="str">
        <x:v>Nos</x:v>
      </x:c>
      <x:c r="H53" s="41" t="n">
        <x:v>0</x:v>
      </x:c>
      <x:c r="I53" s="41" t="str">
        <x:v>17</x:v>
      </x:c>
      <x:c r="J53" s="41" t="str">
        <x:v>Yes</x:v>
      </x:c>
      <x:c r="K53" s="41" t="str">
        <x:v>Yes</x:v>
      </x:c>
    </x:row>
    <x:row r="54">
      <x:c r="A54" s="41" t="str">
        <x:v>RS-3026</x:v>
      </x:c>
      <x:c r="B54" s="41" t="str">
        <x:v>Triceps Extension (RS-3026)</x:v>
      </x:c>
      <x:c r="C54" s="41" t="str">
        <x:v>Strength</x:v>
      </x:c>
      <x:c r="D54" s="41" t="str">
        <x:v>Burnsport</x:v>
      </x:c>
      <x:c r="E54" s="41" t="str">
        <x:v>17</x:v>
      </x:c>
      <x:c r="F54" s="42" t="n">
        <x:v>10248.8</x:v>
      </x:c>
      <x:c r="G54" s="41" t="str">
        <x:v>Nos</x:v>
      </x:c>
      <x:c r="H54" s="41" t="n">
        <x:v>0</x:v>
      </x:c>
      <x:c r="I54" s="41" t="str">
        <x:v>172.4 × 143.6 × 125.9 cm</x:v>
      </x:c>
      <x:c r="J54" s="41" t="str">
        <x:v>Yes</x:v>
      </x:c>
      <x:c r="K54" s="41" t="str">
        <x:v>Yes</x:v>
      </x:c>
    </x:row>
    <x:row r="55">
      <x:c r="A55" s="41" t="str">
        <x:v>RS-3020</x:v>
      </x:c>
      <x:c r="B55" s="41" t="str">
        <x:v>Iso-lateral Shoulder Press (RS-3020)</x:v>
      </x:c>
      <x:c r="C55" s="41" t="str">
        <x:v>Strength</x:v>
      </x:c>
      <x:c r="D55" s="41" t="str">
        <x:v>Burnsport</x:v>
      </x:c>
      <x:c r="E55" s="41" t="str">
        <x:v>17</x:v>
      </x:c>
      <x:c r="F55" s="42" t="n">
        <x:v>10386.8</x:v>
      </x:c>
      <x:c r="G55" s="41" t="str">
        <x:v>Nos</x:v>
      </x:c>
      <x:c r="H55" s="41" t="n">
        <x:v>0</x:v>
      </x:c>
      <x:c r="I55" s="41" t="str">
        <x:v>133.8 × 161.4 × 190.5 cm</x:v>
      </x:c>
      <x:c r="J55" s="41" t="str">
        <x:v>Yes</x:v>
      </x:c>
      <x:c r="K55" s="41" t="str">
        <x:v>Yes</x:v>
      </x:c>
    </x:row>
    <x:row r="56">
      <x:c r="A56" s="41" t="str">
        <x:v>RS-4002</x:v>
      </x:c>
      <x:c r="B56" s="41" t="str">
        <x:v>Olympic Flat Bench (RS-4002)</x:v>
      </x:c>
      <x:c r="C56" s="41" t="str">
        <x:v>Strength</x:v>
      </x:c>
      <x:c r="D56" s="41" t="str">
        <x:v>Burnsport</x:v>
      </x:c>
      <x:c r="E56" s="41" t="str">
        <x:v>17</x:v>
      </x:c>
      <x:c r="F56" s="42" t="n">
        <x:v>11564.4</x:v>
      </x:c>
      <x:c r="G56" s="41" t="str">
        <x:v>Nos</x:v>
      </x:c>
      <x:c r="H56" s="41" t="n">
        <x:v>0</x:v>
      </x:c>
      <x:c r="I56" s="41" t="str">
        <x:v>158.27 × 164.23 × 138.98 cm</x:v>
      </x:c>
      <x:c r="J56" s="41" t="str">
        <x:v>Yes</x:v>
      </x:c>
      <x:c r="K56" s="41" t="str">
        <x:v>Yes</x:v>
      </x:c>
    </x:row>
    <x:row r="57">
      <x:c r="A57" s="41" t="str">
        <x:v>RS-4017</x:v>
      </x:c>
      <x:c r="B57" s="41" t="str">
        <x:v>Standing Abdominal Crunch</x:v>
      </x:c>
      <x:c r="C57" s="41" t="str">
        <x:v>Strength</x:v>
      </x:c>
      <x:c r="D57" s="41" t="str">
        <x:v>Burnsport</x:v>
      </x:c>
      <x:c r="E57" s="41" t="str">
        <x:v>17</x:v>
      </x:c>
      <x:c r="F57" s="42" t="n">
        <x:v>11564.4</x:v>
      </x:c>
      <x:c r="G57" s="41" t="str">
        <x:v>Nos</x:v>
      </x:c>
      <x:c r="H57" s="41" t="n">
        <x:v>0</x:v>
      </x:c>
      <x:c r="I57" s="41" t="str">
        <x:v>126 × 114.3 × 240.4 cm</x:v>
      </x:c>
      <x:c r="J57" s="41" t="str">
        <x:v>Yes</x:v>
      </x:c>
      <x:c r="K57" s="41" t="str">
        <x:v>Yes</x:v>
      </x:c>
    </x:row>
    <x:row r="58">
      <x:c r="A58" s="41" t="str">
        <x:v>RS-3009</x:v>
      </x:c>
      <x:c r="B58" s="41" t="str">
        <x:v>Iso-lateral Horizontal Bench Press (RS-3009)</x:v>
      </x:c>
      <x:c r="C58" s="41" t="str">
        <x:v>Strength</x:v>
      </x:c>
      <x:c r="D58" s="41" t="str">
        <x:v>Burnsport</x:v>
      </x:c>
      <x:c r="E58" s="41" t="str">
        <x:v>17</x:v>
      </x:c>
      <x:c r="F58" s="42" t="n">
        <x:v>12880</x:v>
      </x:c>
      <x:c r="G58" s="41" t="str">
        <x:v>Nos</x:v>
      </x:c>
      <x:c r="H58" s="41" t="n">
        <x:v>0</x:v>
      </x:c>
      <x:c r="I58" s="41" t="str">
        <x:v>190 × 164 × 115 cm</x:v>
      </x:c>
      <x:c r="J58" s="41" t="str">
        <x:v>Yes</x:v>
      </x:c>
      <x:c r="K58" s="41" t="str">
        <x:v>Yes</x:v>
      </x:c>
    </x:row>
    <x:row r="59">
      <x:c r="A59" s="41" t="str">
        <x:v>RS-3012</x:v>
      </x:c>
      <x:c r="B59" s="41" t="str">
        <x:v>Iso-lateral Wide Pull Down (RS-3012)</x:v>
      </x:c>
      <x:c r="C59" s="41" t="str">
        <x:v>Strength</x:v>
      </x:c>
      <x:c r="D59" s="41" t="str">
        <x:v>Burnsport</x:v>
      </x:c>
      <x:c r="E59" s="41" t="str">
        <x:v>17</x:v>
      </x:c>
      <x:c r="F59" s="42" t="n">
        <x:v>11776</x:v>
      </x:c>
      <x:c r="G59" s="41" t="str">
        <x:v>Nos</x:v>
      </x:c>
      <x:c r="H59" s="41" t="n">
        <x:v>0</x:v>
      </x:c>
      <x:c r="I59" s="41" t="str">
        <x:v>175.4 × 125.4 × 185.9 cm</x:v>
      </x:c>
      <x:c r="J59" s="41" t="str">
        <x:v>Yes</x:v>
      </x:c>
      <x:c r="K59" s="41" t="str">
        <x:v>Yes</x:v>
      </x:c>
    </x:row>
    <x:row r="60">
      <x:c r="A60" s="41" t="str">
        <x:v>RS-3004</x:v>
      </x:c>
      <x:c r="B60" s="41" t="str">
        <x:v>Iso-lateral Incline Press (RS-3004)</x:v>
      </x:c>
      <x:c r="C60" s="41" t="str">
        <x:v>Strength</x:v>
      </x:c>
      <x:c r="D60" s="41" t="str">
        <x:v>Burnsport</x:v>
      </x:c>
      <x:c r="E60" s="41" t="str">
        <x:v>17</x:v>
      </x:c>
      <x:c r="F60" s="42" t="n">
        <x:v>11776</x:v>
      </x:c>
      <x:c r="G60" s="41" t="str">
        <x:v>Nos</x:v>
      </x:c>
      <x:c r="H60" s="41" t="n">
        <x:v>0</x:v>
      </x:c>
      <x:c r="I60" s="41" t="str">
        <x:v>121 × 187.6 × 202 cm</x:v>
      </x:c>
      <x:c r="J60" s="41" t="str">
        <x:v>Yes</x:v>
      </x:c>
      <x:c r="K60" s="41" t="str">
        <x:v>Yes</x:v>
      </x:c>
    </x:row>
    <x:row r="61">
      <x:c r="A61" s="41" t="str">
        <x:v>RS-3011</x:v>
      </x:c>
      <x:c r="B61" s="41" t="str">
        <x:v>Orbital Row</x:v>
      </x:c>
      <x:c r="C61" s="41" t="str">
        <x:v>Strength</x:v>
      </x:c>
      <x:c r="D61" s="41" t="str">
        <x:v>Burnsport</x:v>
      </x:c>
      <x:c r="E61" s="41" t="str">
        <x:v>17</x:v>
      </x:c>
      <x:c r="F61" s="42" t="n">
        <x:v>13928.8</x:v>
      </x:c>
      <x:c r="G61" s="41" t="str">
        <x:v>Nos</x:v>
      </x:c>
      <x:c r="H61" s="41" t="n">
        <x:v>0</x:v>
      </x:c>
      <x:c r="I61" s="41" t="str">
        <x:v>215.97 × 174 × 119 cm</x:v>
      </x:c>
      <x:c r="J61" s="41" t="str">
        <x:v>Yes</x:v>
      </x:c>
      <x:c r="K61" s="41" t="str">
        <x:v>Yes</x:v>
      </x:c>
    </x:row>
    <x:row r="62">
      <x:c r="A62" s="41" t="str">
        <x:v>RS-3018</x:v>
      </x:c>
      <x:c r="B62" s="41" t="str">
        <x:v>Iso-lateral High Row (RS-3018)</x:v>
      </x:c>
      <x:c r="C62" s="41" t="str">
        <x:v>Strength</x:v>
      </x:c>
      <x:c r="D62" s="41" t="str">
        <x:v>Burnsport</x:v>
      </x:c>
      <x:c r="E62" s="41" t="str">
        <x:v>17</x:v>
      </x:c>
      <x:c r="F62" s="42" t="n">
        <x:v>11776</x:v>
      </x:c>
      <x:c r="G62" s="41" t="str">
        <x:v>Nos</x:v>
      </x:c>
      <x:c r="H62" s="41" t="n">
        <x:v>0</x:v>
      </x:c>
      <x:c r="I62" s="41" t="str">
        <x:v>17</x:v>
      </x:c>
      <x:c r="J62" s="41" t="str">
        <x:v>Yes</x:v>
      </x:c>
      <x:c r="K62" s="41" t="str">
        <x:v>Yes</x:v>
      </x:c>
    </x:row>
    <x:row r="63">
      <x:c r="A63" s="41" t="str">
        <x:v>RS-3003</x:v>
      </x:c>
      <x:c r="B63" s="41" t="str">
        <x:v>Iso-lateral Decline Chest Press (RS-3003)</x:v>
      </x:c>
      <x:c r="C63" s="41" t="str">
        <x:v>Strength</x:v>
      </x:c>
      <x:c r="D63" s="41" t="str">
        <x:v>Burnsport</x:v>
      </x:c>
      <x:c r="E63" s="41" t="str">
        <x:v>17</x:v>
      </x:c>
      <x:c r="F63" s="42" t="n">
        <x:v>11776</x:v>
      </x:c>
      <x:c r="G63" s="41" t="str">
        <x:v>Nos</x:v>
      </x:c>
      <x:c r="H63" s="41" t="n">
        <x:v>0</x:v>
      </x:c>
      <x:c r="I63" s="41" t="str">
        <x:v>123.7 × 167 × 187 cm</x:v>
      </x:c>
      <x:c r="J63" s="41" t="str">
        <x:v>Yes</x:v>
      </x:c>
      <x:c r="K63" s="41" t="str">
        <x:v>Yes</x:v>
      </x:c>
    </x:row>
    <x:row r="64">
      <x:c r="A64" s="41" t="str">
        <x:v>RS-3014</x:v>
      </x:c>
      <x:c r="B64" s="41" t="str">
        <x:v>Iso-lateral Low Row (RS-3014)</x:v>
      </x:c>
      <x:c r="C64" s="41" t="str">
        <x:v>Strength</x:v>
      </x:c>
      <x:c r="D64" s="41" t="str">
        <x:v>Burnsport</x:v>
      </x:c>
      <x:c r="E64" s="41" t="str">
        <x:v>17</x:v>
      </x:c>
      <x:c r="F64" s="42" t="n">
        <x:v>10856</x:v>
      </x:c>
      <x:c r="G64" s="41" t="str">
        <x:v>Nos</x:v>
      </x:c>
      <x:c r="H64" s="41" t="n">
        <x:v>0</x:v>
      </x:c>
      <x:c r="I64" s="41" t="str">
        <x:v>17</x:v>
      </x:c>
      <x:c r="J64" s="41" t="str">
        <x:v>Yes</x:v>
      </x:c>
      <x:c r="K64" s="41" t="str">
        <x:v>Yes</x:v>
      </x:c>
    </x:row>
    <x:row r="65">
      <x:c r="A65" s="41" t="str">
        <x:v>RS-3013</x:v>
      </x:c>
      <x:c r="B65" s="41" t="str">
        <x:v>Iso-lateral D.Y. Row (RS-3013)</x:v>
      </x:c>
      <x:c r="C65" s="41" t="str">
        <x:v>Strength</x:v>
      </x:c>
      <x:c r="D65" s="41" t="str">
        <x:v>Burnsport</x:v>
      </x:c>
      <x:c r="E65" s="41" t="str">
        <x:v>17</x:v>
      </x:c>
      <x:c r="F65" s="42" t="n">
        <x:v>13928.8</x:v>
      </x:c>
      <x:c r="G65" s="41" t="str">
        <x:v>Nos</x:v>
      </x:c>
      <x:c r="H65" s="41" t="n">
        <x:v>0</x:v>
      </x:c>
      <x:c r="I65" s="41" t="str">
        <x:v>130 × 142 × 208 cm</x:v>
      </x:c>
      <x:c r="J65" s="41" t="str">
        <x:v>Yes</x:v>
      </x:c>
      <x:c r="K65" s="41" t="str">
        <x:v>Yes</x:v>
      </x:c>
    </x:row>
    <x:row r="66">
      <x:c r="A66" s="41" t="str">
        <x:v>RS-3005</x:v>
      </x:c>
      <x:c r="B66" s="41" t="str">
        <x:v>Chest Press (RS-3005)</x:v>
      </x:c>
      <x:c r="C66" s="41" t="str">
        <x:v>Strength</x:v>
      </x:c>
      <x:c r="D66" s="41" t="str">
        <x:v>Burnsport</x:v>
      </x:c>
      <x:c r="E66" s="41" t="str">
        <x:v>17</x:v>
      </x:c>
      <x:c r="F66" s="42" t="n">
        <x:v>13928.8</x:v>
      </x:c>
      <x:c r="G66" s="41" t="str">
        <x:v>Nos</x:v>
      </x:c>
      <x:c r="H66" s="41" t="n">
        <x:v>0</x:v>
      </x:c>
      <x:c r="I66" s="41" t="str">
        <x:v>200.7 × 116.1 × 194.5 cm</x:v>
      </x:c>
      <x:c r="J66" s="41" t="str">
        <x:v>Yes</x:v>
      </x:c>
      <x:c r="K66" s="41" t="str">
        <x:v>Yes</x:v>
      </x:c>
    </x:row>
    <x:row r="67">
      <x:c r="A67" s="41" t="str">
        <x:v>RS-1013</x:v>
      </x:c>
      <x:c r="B67" s="41" t="str">
        <x:v>3D Glute Drive</x:v>
      </x:c>
      <x:c r="C67" s="41" t="str">
        <x:v>Strength</x:v>
      </x:c>
      <x:c r="D67" s="41" t="str">
        <x:v>Burnsport</x:v>
      </x:c>
      <x:c r="E67" s="41" t="str">
        <x:v>17</x:v>
      </x:c>
      <x:c r="F67" s="42" t="n">
        <x:v>10856</x:v>
      </x:c>
      <x:c r="G67" s="41" t="str">
        <x:v>Nos</x:v>
      </x:c>
      <x:c r="H67" s="41" t="n">
        <x:v>0</x:v>
      </x:c>
      <x:c r="I67" s="41" t="str">
        <x:v>168.8 × 174 × 128.8 cm</x:v>
      </x:c>
      <x:c r="J67" s="41" t="str">
        <x:v>Yes</x:v>
      </x:c>
      <x:c r="K67" s="41" t="str">
        <x:v>Yes</x:v>
      </x:c>
    </x:row>
    <x:row r="68">
      <x:c r="A68" s="41" t="str">
        <x:v>RS-1012B</x:v>
      </x:c>
      <x:c r="B68" s="41" t="str">
        <x:v>Standing Hip Abduction</x:v>
      </x:c>
      <x:c r="C68" s="41" t="str">
        <x:v>Strength</x:v>
      </x:c>
      <x:c r="D68" s="41" t="str">
        <x:v>Burnsport</x:v>
      </x:c>
      <x:c r="E68" s="41" t="str">
        <x:v>17</x:v>
      </x:c>
      <x:c r="F68" s="42" t="n">
        <x:v>8390.4</x:v>
      </x:c>
      <x:c r="G68" s="41" t="str">
        <x:v>Nos</x:v>
      </x:c>
      <x:c r="H68" s="41" t="n">
        <x:v>0</x:v>
      </x:c>
      <x:c r="I68" s="41" t="str">
        <x:v>171.6 × 81 × 152.6 cm</x:v>
      </x:c>
      <x:c r="J68" s="41" t="str">
        <x:v>Yes</x:v>
      </x:c>
      <x:c r="K68" s="41" t="str">
        <x:v>Yes</x:v>
      </x:c>
    </x:row>
    <x:row r="69">
      <x:c r="A69" s="41" t="str">
        <x:v>RS-1011</x:v>
      </x:c>
      <x:c r="B69" s="41" t="str">
        <x:v>Seated Hip Thrust</x:v>
      </x:c>
      <x:c r="C69" s="41" t="str">
        <x:v>Strength</x:v>
      </x:c>
      <x:c r="D69" s="41" t="str">
        <x:v>Burnsport</x:v>
      </x:c>
      <x:c r="E69" s="41" t="str">
        <x:v>17</x:v>
      </x:c>
      <x:c r="F69" s="42" t="n">
        <x:v>9016</x:v>
      </x:c>
      <x:c r="G69" s="41" t="str">
        <x:v>Nos</x:v>
      </x:c>
      <x:c r="H69" s="41" t="n">
        <x:v>0</x:v>
      </x:c>
      <x:c r="I69" s="41" t="str">
        <x:v>149.8 × 116.9 × 143 cm</x:v>
      </x:c>
      <x:c r="J69" s="41" t="str">
        <x:v>Yes</x:v>
      </x:c>
      <x:c r="K69" s="41" t="str">
        <x:v>Yes</x:v>
      </x:c>
    </x:row>
    <x:row r="70">
      <x:c r="A70" s="41" t="str">
        <x:v>RS-3001</x:v>
      </x:c>
      <x:c r="B70" s="41" t="str">
        <x:v>Iso-lateral Row (RS-3001)</x:v>
      </x:c>
      <x:c r="C70" s="41" t="str">
        <x:v>Strength</x:v>
      </x:c>
      <x:c r="D70" s="41" t="str">
        <x:v>Burnsport</x:v>
      </x:c>
      <x:c r="E70" s="41" t="str">
        <x:v>17</x:v>
      </x:c>
      <x:c r="F70" s="42" t="n">
        <x:v>12622.4</x:v>
      </x:c>
      <x:c r="G70" s="41" t="str">
        <x:v>Nos</x:v>
      </x:c>
      <x:c r="H70" s="41" t="n">
        <x:v>0</x:v>
      </x:c>
      <x:c r="I70" s="41" t="str">
        <x:v>160 × 147.5 × 137 cm</x:v>
      </x:c>
      <x:c r="J70" s="41" t="str">
        <x:v>Yes</x:v>
      </x:c>
      <x:c r="K70" s="41" t="str">
        <x:v>Yes</x:v>
      </x:c>
    </x:row>
    <x:row r="71">
      <x:c r="A71" s="41" t="str">
        <x:v>RS-3002</x:v>
      </x:c>
      <x:c r="B71" s="41" t="str">
        <x:v>Iso-lateral Front Lat Pulldown (RS-3002)</x:v>
      </x:c>
      <x:c r="C71" s="41" t="str">
        <x:v>Strength</x:v>
      </x:c>
      <x:c r="D71" s="41" t="str">
        <x:v>Burnsport</x:v>
      </x:c>
      <x:c r="E71" s="41" t="str">
        <x:v>17</x:v>
      </x:c>
      <x:c r="F71" s="42" t="n">
        <x:v>11776</x:v>
      </x:c>
      <x:c r="G71" s="41" t="str">
        <x:v>Nos</x:v>
      </x:c>
      <x:c r="H71" s="41" t="n">
        <x:v>0</x:v>
      </x:c>
      <x:c r="I71" s="41" t="str">
        <x:v>168.6 × 161.6 × 192.7 cm</x:v>
      </x:c>
      <x:c r="J71" s="41" t="str">
        <x:v>Yes</x:v>
      </x:c>
      <x:c r="K71" s="41" t="str">
        <x:v>Yes</x:v>
      </x:c>
    </x:row>
    <x:row r="72">
      <x:c r="A72" s="41" t="str">
        <x:v>RS-1005</x:v>
      </x:c>
      <x:c r="B72" s="41" t="str">
        <x:v>Pendulum Squat (RS-1005)</x:v>
      </x:c>
      <x:c r="C72" s="41" t="str">
        <x:v>Strength</x:v>
      </x:c>
      <x:c r="D72" s="41" t="str">
        <x:v>Burnsport</x:v>
      </x:c>
      <x:c r="E72" s="41" t="str">
        <x:v>17</x:v>
      </x:c>
      <x:c r="F72" s="42" t="n">
        <x:v>12861.6</x:v>
      </x:c>
      <x:c r="G72" s="41" t="str">
        <x:v>Nos</x:v>
      </x:c>
      <x:c r="H72" s="41" t="n">
        <x:v>0</x:v>
      </x:c>
      <x:c r="I72" s="41" t="str">
        <x:v>255 × 144 × 176.5 cm</x:v>
      </x:c>
      <x:c r="J72" s="41" t="str">
        <x:v>Yes</x:v>
      </x:c>
      <x:c r="K72" s="41" t="str">
        <x:v>Yes</x:v>
      </x:c>
    </x:row>
    <x:row r="73">
      <x:c r="A73" s="41" t="str">
        <x:v>RS-1008</x:v>
      </x:c>
      <x:c r="B73" s="41" t="str">
        <x:v>45 Degree Hip Extension</x:v>
      </x:c>
      <x:c r="C73" s="41" t="str">
        <x:v>Strength</x:v>
      </x:c>
      <x:c r="D73" s="41" t="str">
        <x:v>Burnsport</x:v>
      </x:c>
      <x:c r="E73" s="41" t="str">
        <x:v>17</x:v>
      </x:c>
      <x:c r="F73" s="42" t="n">
        <x:v>8942.4</x:v>
      </x:c>
      <x:c r="G73" s="41" t="str">
        <x:v>Nos</x:v>
      </x:c>
      <x:c r="H73" s="41" t="n">
        <x:v>0</x:v>
      </x:c>
      <x:c r="I73" s="41" t="str">
        <x:v>17</x:v>
      </x:c>
      <x:c r="J73" s="41" t="str">
        <x:v>Yes</x:v>
      </x:c>
      <x:c r="K73" s="41" t="str">
        <x:v>Yes</x:v>
      </x:c>
    </x:row>
    <x:row r="74">
      <x:c r="A74" s="41" t="str">
        <x:v>RS-1010</x:v>
      </x:c>
      <x:c r="B74" s="41" t="str">
        <x:v>3D Hip Abduction</x:v>
      </x:c>
      <x:c r="C74" s="41" t="str">
        <x:v>Strength</x:v>
      </x:c>
      <x:c r="D74" s="41" t="str">
        <x:v>Burnsport</x:v>
      </x:c>
      <x:c r="E74" s="41" t="str">
        <x:v>17</x:v>
      </x:c>
      <x:c r="F74" s="42" t="n">
        <x:v>13928.8</x:v>
      </x:c>
      <x:c r="G74" s="41" t="str">
        <x:v>Nos</x:v>
      </x:c>
      <x:c r="H74" s="41" t="n">
        <x:v>0</x:v>
      </x:c>
      <x:c r="I74" s="41" t="str">
        <x:v>184 × 122 × 116 cm</x:v>
      </x:c>
      <x:c r="J74" s="41" t="str">
        <x:v>Yes</x:v>
      </x:c>
      <x:c r="K74" s="41" t="str">
        <x:v>Yes</x:v>
      </x:c>
    </x:row>
    <x:row r="75">
      <x:c r="A75" s="41" t="str">
        <x:v>RS-1009</x:v>
      </x:c>
      <x:c r="B75" s="41" t="str">
        <x:v>Pendulum Leg Trainer</x:v>
      </x:c>
      <x:c r="C75" s="41" t="str">
        <x:v>Strength</x:v>
      </x:c>
      <x:c r="D75" s="41" t="str">
        <x:v>Burnsport</x:v>
      </x:c>
      <x:c r="E75" s="41" t="str">
        <x:v>17</x:v>
      </x:c>
      <x:c r="F75" s="42" t="n">
        <x:v>9016</x:v>
      </x:c>
      <x:c r="G75" s="41" t="str">
        <x:v>Nos</x:v>
      </x:c>
      <x:c r="H75" s="41" t="n">
        <x:v>0</x:v>
      </x:c>
      <x:c r="I75" s="41" t="str">
        <x:v>156.1 × 137.6 × 146.2 cm</x:v>
      </x:c>
      <x:c r="J75" s="41" t="str">
        <x:v>Yes</x:v>
      </x:c>
      <x:c r="K75" s="41" t="str">
        <x:v>Yes</x:v>
      </x:c>
    </x:row>
    <x:row r="76">
      <x:c r="A76" s="41" t="str">
        <x:v>RS-1001B</x:v>
      </x:c>
      <x:c r="B76" s="41" t="str">
        <x:v>Glute Drive (Fixed Pedal)</x:v>
      </x:c>
      <x:c r="C76" s="41" t="str">
        <x:v>Strength</x:v>
      </x:c>
      <x:c r="D76" s="41" t="str">
        <x:v>Burnsport</x:v>
      </x:c>
      <x:c r="E76" s="41" t="str">
        <x:v>17</x:v>
      </x:c>
      <x:c r="F76" s="42" t="n">
        <x:v>9476</x:v>
      </x:c>
      <x:c r="G76" s="41" t="str">
        <x:v>Nos</x:v>
      </x:c>
      <x:c r="H76" s="41" t="n">
        <x:v>0</x:v>
      </x:c>
      <x:c r="I76" s="41" t="str">
        <x:v>170.2 × 144 × 77.6 cm</x:v>
      </x:c>
      <x:c r="J76" s="41" t="str">
        <x:v>Yes</x:v>
      </x:c>
      <x:c r="K76" s="41" t="str">
        <x:v>Yes</x:v>
      </x:c>
    </x:row>
    <x:row r="77">
      <x:c r="A77" s="41" t="str">
        <x:v>RS-1006</x:v>
      </x:c>
      <x:c r="B77" s="41" t="str">
        <x:v>Shrug Squat Lunge</x:v>
      </x:c>
      <x:c r="C77" s="41" t="str">
        <x:v>Strength</x:v>
      </x:c>
      <x:c r="D77" s="41" t="str">
        <x:v>Burnsport</x:v>
      </x:c>
      <x:c r="E77" s="41" t="str">
        <x:v>17</x:v>
      </x:c>
      <x:c r="F77" s="42" t="n">
        <x:v>8942.4</x:v>
      </x:c>
      <x:c r="G77" s="41" t="str">
        <x:v>Nos</x:v>
      </x:c>
      <x:c r="H77" s="41" t="n">
        <x:v>0</x:v>
      </x:c>
      <x:c r="I77" s="41" t="str">
        <x:v>17</x:v>
      </x:c>
      <x:c r="J77" s="41" t="str">
        <x:v>Yes</x:v>
      </x:c>
      <x:c r="K77" s="41" t="str">
        <x:v>Yes</x:v>
      </x:c>
    </x:row>
    <x:row r="78">
      <x:c r="A78" s="41" t="str">
        <x:v>RS-1007</x:v>
      </x:c>
      <x:c r="B78" s="41" t="str">
        <x:v>Belt Squat (RS-1007)</x:v>
      </x:c>
      <x:c r="C78" s="41" t="str">
        <x:v>Strength</x:v>
      </x:c>
      <x:c r="D78" s="41" t="str">
        <x:v>Burnsport</x:v>
      </x:c>
      <x:c r="E78" s="41" t="str">
        <x:v>17</x:v>
      </x:c>
      <x:c r="F78" s="42" t="n">
        <x:v>9936</x:v>
      </x:c>
      <x:c r="G78" s="41" t="str">
        <x:v>Nos</x:v>
      </x:c>
      <x:c r="H78" s="41" t="n">
        <x:v>0</x:v>
      </x:c>
      <x:c r="I78" s="41" t="str">
        <x:v>201 × 133.7 × 123 cm</x:v>
      </x:c>
      <x:c r="J78" s="41" t="str">
        <x:v>Yes</x:v>
      </x:c>
      <x:c r="K78" s="41" t="str">
        <x:v>Yes</x:v>
      </x:c>
    </x:row>
    <x:row r="79">
      <x:c r="A79" s="41" t="str">
        <x:v>RS-1002</x:v>
      </x:c>
      <x:c r="B79" s="41" t="str">
        <x:v>Hack Squat</x:v>
      </x:c>
      <x:c r="C79" s="41" t="str">
        <x:v>Strength</x:v>
      </x:c>
      <x:c r="D79" s="41" t="str">
        <x:v>Burnsport</x:v>
      </x:c>
      <x:c r="E79" s="41" t="str">
        <x:v>17</x:v>
      </x:c>
      <x:c r="F79" s="42" t="n">
        <x:v>12861.6</x:v>
      </x:c>
      <x:c r="G79" s="41" t="str">
        <x:v>Nos</x:v>
      </x:c>
      <x:c r="H79" s="41" t="n">
        <x:v>0</x:v>
      </x:c>
      <x:c r="I79" s="41" t="str">
        <x:v>157.5 × 233 × 163.2 cm</x:v>
      </x:c>
      <x:c r="J79" s="41" t="str">
        <x:v>Yes</x:v>
      </x:c>
      <x:c r="K79" s="41" t="str">
        <x:v>Yes</x:v>
      </x:c>
    </x:row>
    <x:row r="80">
      <x:c r="A80" s="41" t="str">
        <x:v>HM-3021</x:v>
      </x:c>
      <x:c r="B80" s="41" t="str">
        <x:v>Abdominal Crunch</x:v>
      </x:c>
      <x:c r="C80" s="41" t="str">
        <x:v>Strength</x:v>
      </x:c>
      <x:c r="D80" s="41" t="str">
        <x:v>Burnsport</x:v>
      </x:c>
      <x:c r="E80" s="41" t="str">
        <x:v>17</x:v>
      </x:c>
      <x:c r="F80" s="42" t="n">
        <x:v>13156</x:v>
      </x:c>
      <x:c r="G80" s="41" t="str">
        <x:v>Nos</x:v>
      </x:c>
      <x:c r="H80" s="41" t="n">
        <x:v>0</x:v>
      </x:c>
      <x:c r="I80" s="41" t="str">
        <x:v>158 × 89 × 140 cm</x:v>
      </x:c>
      <x:c r="J80" s="41" t="str">
        <x:v>Yes</x:v>
      </x:c>
      <x:c r="K80" s="41" t="str">
        <x:v>Yes</x:v>
      </x:c>
    </x:row>
    <x:row r="81">
      <x:c r="A81" s="41" t="str">
        <x:v>HM-5006</x:v>
      </x:c>
      <x:c r="B81" s="41" t="str">
        <x:v>Pro Competition Bench Press</x:v>
      </x:c>
      <x:c r="C81" s="41" t="str">
        <x:v>Strength</x:v>
      </x:c>
      <x:c r="D81" s="41" t="str">
        <x:v>Burnsport</x:v>
      </x:c>
      <x:c r="E81" s="41" t="str">
        <x:v>17</x:v>
      </x:c>
      <x:c r="F81" s="42" t="n">
        <x:v>11941.6</x:v>
      </x:c>
      <x:c r="G81" s="41" t="str">
        <x:v>Nos</x:v>
      </x:c>
      <x:c r="H81" s="41" t="n">
        <x:v>0</x:v>
      </x:c>
      <x:c r="I81" s="41" t="str">
        <x:v>201 × 165 × 187.5 cm</x:v>
      </x:c>
      <x:c r="J81" s="41" t="str">
        <x:v>Yes</x:v>
      </x:c>
      <x:c r="K81" s="41" t="str">
        <x:v>Yes</x:v>
      </x:c>
    </x:row>
    <x:row r="82">
      <x:c r="A82" s="41" t="str">
        <x:v>HM-5002</x:v>
      </x:c>
      <x:c r="B82" s="41" t="str">
        <x:v>Full Cage Squat Rack</x:v>
      </x:c>
      <x:c r="C82" s="41" t="str">
        <x:v>Strength</x:v>
      </x:c>
      <x:c r="D82" s="41" t="str">
        <x:v>Burnsport</x:v>
      </x:c>
      <x:c r="E82" s="41" t="str">
        <x:v>17</x:v>
      </x:c>
      <x:c r="F82" s="42" t="n">
        <x:v>22080</x:v>
      </x:c>
      <x:c r="G82" s="41" t="str">
        <x:v>Nos</x:v>
      </x:c>
      <x:c r="H82" s="41" t="n">
        <x:v>0</x:v>
      </x:c>
      <x:c r="I82" s="41" t="str">
        <x:v>1880 × 2005 × 2450 mm</x:v>
      </x:c>
      <x:c r="J82" s="41" t="str">
        <x:v>Yes</x:v>
      </x:c>
      <x:c r="K82" s="41" t="str">
        <x:v>Yes</x:v>
      </x:c>
    </x:row>
    <x:row r="83">
      <x:c r="A83" s="41" t="str">
        <x:v>HM-3022</x:v>
      </x:c>
      <x:c r="B83" s="41" t="str">
        <x:v>Back Extension</x:v>
      </x:c>
      <x:c r="C83" s="41" t="str">
        <x:v>Strength</x:v>
      </x:c>
      <x:c r="D83" s="41" t="str">
        <x:v>Burnsport</x:v>
      </x:c>
      <x:c r="E83" s="41" t="str">
        <x:v>17</x:v>
      </x:c>
      <x:c r="F83" s="42" t="n">
        <x:v>13156</x:v>
      </x:c>
      <x:c r="G83" s="41" t="str">
        <x:v>Nos</x:v>
      </x:c>
      <x:c r="H83" s="41" t="n">
        <x:v>0</x:v>
      </x:c>
      <x:c r="I83" s="41" t="str">
        <x:v>117 × 102 × 140 cm</x:v>
      </x:c>
      <x:c r="J83" s="41" t="str">
        <x:v>Yes</x:v>
      </x:c>
      <x:c r="K83" s="41" t="str">
        <x:v>Yes</x:v>
      </x:c>
    </x:row>
    <x:row r="84">
      <x:c r="A84" s="41" t="str">
        <x:v>HM-5003</x:v>
      </x:c>
      <x:c r="B84" s="41" t="str">
        <x:v>Functional Trainer+Half Cage Squat Rack</x:v>
      </x:c>
      <x:c r="C84" s="41" t="str">
        <x:v>Strength</x:v>
      </x:c>
      <x:c r="D84" s="41" t="str">
        <x:v>Burnsport</x:v>
      </x:c>
      <x:c r="E84" s="41" t="str">
        <x:v>17</x:v>
      </x:c>
      <x:c r="F84" s="42" t="n">
        <x:v>44160</x:v>
      </x:c>
      <x:c r="G84" s="41" t="str">
        <x:v>Nos</x:v>
      </x:c>
      <x:c r="H84" s="41" t="n">
        <x:v>0</x:v>
      </x:c>
      <x:c r="I84" s="41" t="str">
        <x:v>2090 × 2910 × 2450 mm</x:v>
      </x:c>
      <x:c r="J84" s="41" t="str">
        <x:v>Yes</x:v>
      </x:c>
      <x:c r="K84" s="41" t="str">
        <x:v>Yes</x:v>
      </x:c>
    </x:row>
    <x:row r="85">
      <x:c r="A85" s="41" t="str">
        <x:v>HM-5004</x:v>
      </x:c>
      <x:c r="B85" s="41" t="str">
        <x:v>Functional Trainer+Full Cage Squat Rack</x:v>
      </x:c>
      <x:c r="C85" s="41" t="str">
        <x:v>Strength</x:v>
      </x:c>
      <x:c r="D85" s="41" t="str">
        <x:v>Burnsport</x:v>
      </x:c>
      <x:c r="E85" s="41" t="str">
        <x:v>17</x:v>
      </x:c>
      <x:c r="F85" s="42" t="n">
        <x:v>48760</x:v>
      </x:c>
      <x:c r="G85" s="41" t="str">
        <x:v>Nos</x:v>
      </x:c>
      <x:c r="H85" s="41" t="n">
        <x:v>0</x:v>
      </x:c>
      <x:c r="I85" s="41" t="str">
        <x:v>2090 × 3460 × 2450 mm</x:v>
      </x:c>
      <x:c r="J85" s="41" t="str">
        <x:v>Yes</x:v>
      </x:c>
      <x:c r="K85" s="41" t="str">
        <x:v>Yes</x:v>
      </x:c>
    </x:row>
    <x:row r="86">
      <x:c r="A86" s="41" t="str">
        <x:v>HM-5001</x:v>
      </x:c>
      <x:c r="B86" s="41" t="str">
        <x:v>Half Rack Long Base</x:v>
      </x:c>
      <x:c r="C86" s="41" t="str">
        <x:v>Strength</x:v>
      </x:c>
      <x:c r="D86" s="41" t="str">
        <x:v>Burnsport</x:v>
      </x:c>
      <x:c r="E86" s="41" t="str">
        <x:v>17</x:v>
      </x:c>
      <x:c r="F86" s="42" t="n">
        <x:v>17112</x:v>
      </x:c>
      <x:c r="G86" s="41" t="str">
        <x:v>Nos</x:v>
      </x:c>
      <x:c r="H86" s="41" t="n">
        <x:v>0</x:v>
      </x:c>
      <x:c r="I86" s="41" t="str">
        <x:v>150 × 189 × 244 cm</x:v>
      </x:c>
      <x:c r="J86" s="41" t="str">
        <x:v>Yes</x:v>
      </x:c>
      <x:c r="K86" s="41" t="str">
        <x:v>Yes</x:v>
      </x:c>
    </x:row>
    <x:row r="87">
      <x:c r="A87" s="41" t="str">
        <x:v>HM-3020</x:v>
      </x:c>
      <x:c r="B87" s="41" t="str">
        <x:v>Lying Leg Curl</x:v>
      </x:c>
      <x:c r="C87" s="41" t="str">
        <x:v>Strength</x:v>
      </x:c>
      <x:c r="D87" s="41" t="str">
        <x:v>Burnsport</x:v>
      </x:c>
      <x:c r="E87" s="41" t="str">
        <x:v>17</x:v>
      </x:c>
      <x:c r="F87" s="42" t="n">
        <x:v>14536</x:v>
      </x:c>
      <x:c r="G87" s="41" t="str">
        <x:v>Nos</x:v>
      </x:c>
      <x:c r="H87" s="41" t="n">
        <x:v>0</x:v>
      </x:c>
      <x:c r="I87" s="41" t="str">
        <x:v>165 × 99 × 140 cm</x:v>
      </x:c>
      <x:c r="J87" s="41" t="str">
        <x:v>Yes</x:v>
      </x:c>
      <x:c r="K87" s="41" t="str">
        <x:v>Yes</x:v>
      </x:c>
    </x:row>
    <x:row r="88">
      <x:c r="A88" s="41" t="str">
        <x:v>RS-1001A</x:v>
      </x:c>
      <x:c r="B88" s="41" t="str">
        <x:v>Glute Drive (Adjustable Pedal)</x:v>
      </x:c>
      <x:c r="C88" s="41" t="str">
        <x:v>Strength</x:v>
      </x:c>
      <x:c r="D88" s="41" t="str">
        <x:v>Burnsport</x:v>
      </x:c>
      <x:c r="E88" s="41" t="str">
        <x:v>17</x:v>
      </x:c>
      <x:c r="F88" s="42" t="n">
        <x:v>9476</x:v>
      </x:c>
      <x:c r="G88" s="41" t="str">
        <x:v>Nos</x:v>
      </x:c>
      <x:c r="H88" s="41" t="n">
        <x:v>0</x:v>
      </x:c>
      <x:c r="I88" s="41" t="str">
        <x:v>170.2 × 144 × 77.6 cm</x:v>
      </x:c>
      <x:c r="J88" s="41" t="str">
        <x:v>Yes</x:v>
      </x:c>
      <x:c r="K88" s="41" t="str">
        <x:v>Yes</x:v>
      </x:c>
    </x:row>
    <x:row r="89">
      <x:c r="A89" s="41" t="str">
        <x:v>HM-3010</x:v>
      </x:c>
      <x:c r="B89" s="41" t="str">
        <x:v>Seated Leg Curl</x:v>
      </x:c>
      <x:c r="C89" s="41" t="str">
        <x:v>Strength</x:v>
      </x:c>
      <x:c r="D89" s="41" t="str">
        <x:v>Burnsport</x:v>
      </x:c>
      <x:c r="E89" s="41" t="str">
        <x:v>17</x:v>
      </x:c>
      <x:c r="F89" s="42" t="n">
        <x:v>14536</x:v>
      </x:c>
      <x:c r="G89" s="41" t="str">
        <x:v>Nos</x:v>
      </x:c>
      <x:c r="H89" s="41" t="n">
        <x:v>0</x:v>
      </x:c>
      <x:c r="I89" s="41" t="str">
        <x:v>140 × 86 × 140 cm</x:v>
      </x:c>
      <x:c r="J89" s="41" t="str">
        <x:v>Yes</x:v>
      </x:c>
      <x:c r="K89" s="41" t="str">
        <x:v>Yes</x:v>
      </x:c>
    </x:row>
    <x:row r="90">
      <x:c r="A90" s="41" t="str">
        <x:v>HM-3018</x:v>
      </x:c>
      <x:c r="B90" s="41" t="str">
        <x:v>Hip &amp; Glute</x:v>
      </x:c>
      <x:c r="C90" s="41" t="str">
        <x:v>Strength</x:v>
      </x:c>
      <x:c r="D90" s="41" t="str">
        <x:v>Burnsport</x:v>
      </x:c>
      <x:c r="E90" s="41" t="str">
        <x:v>17</x:v>
      </x:c>
      <x:c r="F90" s="42" t="n">
        <x:v>14536</x:v>
      </x:c>
      <x:c r="G90" s="41" t="str">
        <x:v>Nos</x:v>
      </x:c>
      <x:c r="H90" s="41" t="n">
        <x:v>0</x:v>
      </x:c>
      <x:c r="I90" s="41" t="str">
        <x:v>165 × 99 × 183 cm</x:v>
      </x:c>
      <x:c r="J90" s="41" t="str">
        <x:v>Yes</x:v>
      </x:c>
      <x:c r="K90" s="41" t="str">
        <x:v>Yes</x:v>
      </x:c>
    </x:row>
    <x:row r="91">
      <x:c r="A91" s="41" t="str">
        <x:v>HM-3013</x:v>
      </x:c>
      <x:c r="B91" s="41" t="str">
        <x:v>Lat Pulldown</x:v>
      </x:c>
      <x:c r="C91" s="41" t="str">
        <x:v>Strength</x:v>
      </x:c>
      <x:c r="D91" s="41" t="str">
        <x:v>Burnsport</x:v>
      </x:c>
      <x:c r="E91" s="41" t="str">
        <x:v>17</x:v>
      </x:c>
      <x:c r="F91" s="42" t="n">
        <x:v>14536</x:v>
      </x:c>
      <x:c r="G91" s="41" t="str">
        <x:v>Nos</x:v>
      </x:c>
      <x:c r="H91" s="41" t="n">
        <x:v>0</x:v>
      </x:c>
      <x:c r="I91" s="41" t="str">
        <x:v>137 × 84 × 226 cm</x:v>
      </x:c>
      <x:c r="J91" s="41" t="str">
        <x:v>Yes</x:v>
      </x:c>
      <x:c r="K91" s="41" t="str">
        <x:v>Yes</x:v>
      </x:c>
    </x:row>
    <x:row r="92">
      <x:c r="A92" s="41" t="str">
        <x:v>HM-3017</x:v>
      </x:c>
      <x:c r="B92" s="41" t="str">
        <x:v>Hip Adduction</x:v>
      </x:c>
      <x:c r="C92" s="41" t="str">
        <x:v>Strength</x:v>
      </x:c>
      <x:c r="D92" s="41" t="str">
        <x:v>Burnsport</x:v>
      </x:c>
      <x:c r="E92" s="41" t="str">
        <x:v>17</x:v>
      </x:c>
      <x:c r="F92" s="42" t="n">
        <x:v>14536</x:v>
      </x:c>
      <x:c r="G92" s="41" t="str">
        <x:v>Nos</x:v>
      </x:c>
      <x:c r="H92" s="41" t="n">
        <x:v>0</x:v>
      </x:c>
      <x:c r="I92" s="41" t="str">
        <x:v>155 × 66 × 140 cm</x:v>
      </x:c>
      <x:c r="J92" s="41" t="str">
        <x:v>Yes</x:v>
      </x:c>
      <x:c r="K92" s="41" t="str">
        <x:v>Yes</x:v>
      </x:c>
    </x:row>
    <x:row r="93">
      <x:c r="A93" s="41" t="str">
        <x:v>HM-3015</x:v>
      </x:c>
      <x:c r="B93" s="41" t="str">
        <x:v>Pectoral Fly</x:v>
      </x:c>
      <x:c r="C93" s="41" t="str">
        <x:v>Strength</x:v>
      </x:c>
      <x:c r="D93" s="41" t="str">
        <x:v>Burnsport</x:v>
      </x:c>
      <x:c r="E93" s="41" t="str">
        <x:v>17</x:v>
      </x:c>
      <x:c r="F93" s="42" t="n">
        <x:v>14536</x:v>
      </x:c>
      <x:c r="G93" s="41" t="str">
        <x:v>Nos</x:v>
      </x:c>
      <x:c r="H93" s="41" t="n">
        <x:v>0</x:v>
      </x:c>
      <x:c r="I93" s="41" t="str">
        <x:v>124 × 142 × 180 cm</x:v>
      </x:c>
      <x:c r="J93" s="41" t="str">
        <x:v>Yes</x:v>
      </x:c>
      <x:c r="K93" s="41" t="str">
        <x:v>Yes</x:v>
      </x:c>
    </x:row>
    <x:row r="94">
      <x:c r="A94" s="41" t="str">
        <x:v>HM-3014</x:v>
      </x:c>
      <x:c r="B94" s="41" t="str">
        <x:v>Seated Lateral Raise</x:v>
      </x:c>
      <x:c r="C94" s="41" t="str">
        <x:v>Strength</x:v>
      </x:c>
      <x:c r="D94" s="41" t="str">
        <x:v>Burnsport</x:v>
      </x:c>
      <x:c r="E94" s="41" t="str">
        <x:v>17</x:v>
      </x:c>
      <x:c r="F94" s="42" t="n">
        <x:v>14536</x:v>
      </x:c>
      <x:c r="G94" s="41" t="str">
        <x:v>Nos</x:v>
      </x:c>
      <x:c r="H94" s="41" t="n">
        <x:v>0</x:v>
      </x:c>
      <x:c r="I94" s="41" t="str">
        <x:v>107 × 94 × 140 cm</x:v>
      </x:c>
      <x:c r="J94" s="41" t="str">
        <x:v>Yes</x:v>
      </x:c>
      <x:c r="K94" s="41" t="str">
        <x:v>Yes</x:v>
      </x:c>
    </x:row>
    <x:row r="95">
      <x:c r="A95" s="41" t="str">
        <x:v>HM-3016</x:v>
      </x:c>
      <x:c r="B95" s="41" t="str">
        <x:v>Pectoral Fly/Rear Deltoid</x:v>
      </x:c>
      <x:c r="C95" s="41" t="str">
        <x:v>Strength</x:v>
      </x:c>
      <x:c r="D95" s="41" t="str">
        <x:v>Burnsport</x:v>
      </x:c>
      <x:c r="E95" s="41" t="str">
        <x:v>17</x:v>
      </x:c>
      <x:c r="F95" s="42" t="n">
        <x:v>14536</x:v>
      </x:c>
      <x:c r="G95" s="41" t="str">
        <x:v>Nos</x:v>
      </x:c>
      <x:c r="H95" s="41" t="n">
        <x:v>0</x:v>
      </x:c>
      <x:c r="I95" s="41" t="str">
        <x:v>134 × 142 × 180 cm</x:v>
      </x:c>
      <x:c r="J95" s="41" t="str">
        <x:v>Yes</x:v>
      </x:c>
      <x:c r="K95" s="41" t="str">
        <x:v>Yes</x:v>
      </x:c>
    </x:row>
    <x:row r="96">
      <x:c r="A96" s="41" t="str">
        <x:v>HM-3011</x:v>
      </x:c>
      <x:c r="B96" s="41" t="str">
        <x:v>Seated Leg Press</x:v>
      </x:c>
      <x:c r="C96" s="41" t="str">
        <x:v>Strength</x:v>
      </x:c>
      <x:c r="D96" s="41" t="str">
        <x:v>Burnsport</x:v>
      </x:c>
      <x:c r="E96" s="41" t="str">
        <x:v>17</x:v>
      </x:c>
      <x:c r="F96" s="42" t="n">
        <x:v>16376</x:v>
      </x:c>
      <x:c r="G96" s="41" t="str">
        <x:v>Nos</x:v>
      </x:c>
      <x:c r="H96" s="41" t="n">
        <x:v>0</x:v>
      </x:c>
      <x:c r="I96" s="41" t="str">
        <x:v>201 × 102 × 180 cm</x:v>
      </x:c>
      <x:c r="J96" s="41" t="str">
        <x:v>Yes</x:v>
      </x:c>
      <x:c r="K96" s="41" t="str">
        <x:v>Yes</x:v>
      </x:c>
    </x:row>
    <x:row r="97">
      <x:c r="A97" s="41" t="str">
        <x:v>HM-3012</x:v>
      </x:c>
      <x:c r="B97" s="41" t="str">
        <x:v>Standing Calf Raise</x:v>
      </x:c>
      <x:c r="C97" s="41" t="str">
        <x:v>Strength</x:v>
      </x:c>
      <x:c r="D97" s="41" t="str">
        <x:v>Burnsport</x:v>
      </x:c>
      <x:c r="E97" s="41" t="str">
        <x:v>17</x:v>
      </x:c>
      <x:c r="F97" s="42" t="n">
        <x:v>13156</x:v>
      </x:c>
      <x:c r="G97" s="41" t="str">
        <x:v>Nos</x:v>
      </x:c>
      <x:c r="H97" s="41" t="n">
        <x:v>0</x:v>
      </x:c>
      <x:c r="I97" s="41" t="str">
        <x:v>148 × 114 × 183 cm</x:v>
      </x:c>
      <x:c r="J97" s="41" t="str">
        <x:v>Yes</x:v>
      </x:c>
      <x:c r="K97" s="41" t="str">
        <x:v>Yes</x:v>
      </x:c>
    </x:row>
    <x:row r="98">
      <x:c r="A98" s="41" t="str">
        <x:v>HM-3008</x:v>
      </x:c>
      <x:c r="B98" s="41" t="str">
        <x:v>Hip Abduction</x:v>
      </x:c>
      <x:c r="C98" s="41" t="str">
        <x:v>Strength</x:v>
      </x:c>
      <x:c r="D98" s="41" t="str">
        <x:v>Burnsport</x:v>
      </x:c>
      <x:c r="E98" s="41" t="str">
        <x:v>17</x:v>
      </x:c>
      <x:c r="F98" s="42" t="n">
        <x:v>14536</x:v>
      </x:c>
      <x:c r="G98" s="41" t="str">
        <x:v>Nos</x:v>
      </x:c>
      <x:c r="H98" s="41" t="n">
        <x:v>0</x:v>
      </x:c>
      <x:c r="I98" s="41" t="str">
        <x:v>155 × 67 × 140 cm</x:v>
      </x:c>
      <x:c r="J98" s="41" t="str">
        <x:v>Yes</x:v>
      </x:c>
      <x:c r="K98" s="41" t="str">
        <x:v>Yes</x:v>
      </x:c>
    </x:row>
    <x:row r="99">
      <x:c r="A99" s="41" t="str">
        <x:v>HM-3005</x:v>
      </x:c>
      <x:c r="B99" s="41" t="str">
        <x:v>Select Seated Row</x:v>
      </x:c>
      <x:c r="C99" s="41" t="str">
        <x:v>Strength</x:v>
      </x:c>
      <x:c r="D99" s="41" t="str">
        <x:v>Burnsport</x:v>
      </x:c>
      <x:c r="E99" s="41" t="str">
        <x:v>17</x:v>
      </x:c>
      <x:c r="F99" s="42" t="n">
        <x:v>14536</x:v>
      </x:c>
      <x:c r="G99" s="41" t="str">
        <x:v>Nos</x:v>
      </x:c>
      <x:c r="H99" s="41" t="n">
        <x:v>0</x:v>
      </x:c>
      <x:c r="I99" s="41" t="str">
        <x:v>132 × 86 × 180 cm</x:v>
      </x:c>
      <x:c r="J99" s="41" t="str">
        <x:v>Yes</x:v>
      </x:c>
      <x:c r="K99" s="41" t="str">
        <x:v>Yes</x:v>
      </x:c>
    </x:row>
    <x:row r="100">
      <x:c r="A100" s="41" t="str">
        <x:v>HM-3006</x:v>
      </x:c>
      <x:c r="B100" s="41" t="str">
        <x:v>Shoulder Press</x:v>
      </x:c>
      <x:c r="C100" s="41" t="str">
        <x:v>Strength</x:v>
      </x:c>
      <x:c r="D100" s="41" t="str">
        <x:v>Burnsport</x:v>
      </x:c>
      <x:c r="E100" s="41" t="str">
        <x:v>17</x:v>
      </x:c>
      <x:c r="F100" s="42" t="n">
        <x:v>14536</x:v>
      </x:c>
      <x:c r="G100" s="41" t="str">
        <x:v>Nos</x:v>
      </x:c>
      <x:c r="H100" s="41" t="n">
        <x:v>0</x:v>
      </x:c>
      <x:c r="I100" s="41" t="str">
        <x:v>152 × 142 × 163 cm</x:v>
      </x:c>
      <x:c r="J100" s="41" t="str">
        <x:v>Yes</x:v>
      </x:c>
      <x:c r="K100" s="41" t="str">
        <x:v>Yes</x:v>
      </x:c>
    </x:row>
    <x:row r="101">
      <x:c r="A101" s="41" t="str">
        <x:v>HM-3004</x:v>
      </x:c>
      <x:c r="B101" s="41" t="str">
        <x:v>Fixed Pulldown</x:v>
      </x:c>
      <x:c r="C101" s="41" t="str">
        <x:v>Strength</x:v>
      </x:c>
      <x:c r="D101" s="41" t="str">
        <x:v>Burnsport</x:v>
      </x:c>
      <x:c r="E101" s="41" t="str">
        <x:v>17</x:v>
      </x:c>
      <x:c r="F101" s="42" t="n">
        <x:v>14536</x:v>
      </x:c>
      <x:c r="G101" s="41" t="str">
        <x:v>Nos</x:v>
      </x:c>
      <x:c r="H101" s="41" t="n">
        <x:v>0</x:v>
      </x:c>
      <x:c r="I101" s="41" t="str">
        <x:v>139 × 147 × 185 cm</x:v>
      </x:c>
      <x:c r="J101" s="41" t="str">
        <x:v>Yes</x:v>
      </x:c>
      <x:c r="K101" s="41" t="str">
        <x:v>Yes</x:v>
      </x:c>
    </x:row>
    <x:row r="102">
      <x:c r="A102" s="41" t="str">
        <x:v>HM-3009</x:v>
      </x:c>
      <x:c r="B102" s="41" t="str">
        <x:v>Seated Leg Extension</x:v>
      </x:c>
      <x:c r="C102" s="41" t="str">
        <x:v>Strength</x:v>
      </x:c>
      <x:c r="D102" s="41" t="str">
        <x:v>Burnsport</x:v>
      </x:c>
      <x:c r="E102" s="41" t="str">
        <x:v>17</x:v>
      </x:c>
      <x:c r="F102" s="42" t="n">
        <x:v>14536</x:v>
      </x:c>
      <x:c r="G102" s="41" t="str">
        <x:v>Nos</x:v>
      </x:c>
      <x:c r="H102" s="41" t="n">
        <x:v>0</x:v>
      </x:c>
      <x:c r="I102" s="41" t="str">
        <x:v>119 × 104 × 163 cm</x:v>
      </x:c>
      <x:c r="J102" s="41" t="str">
        <x:v>Yes</x:v>
      </x:c>
      <x:c r="K102" s="41" t="str">
        <x:v>Yes</x:v>
      </x:c>
    </x:row>
    <x:row r="103">
      <x:c r="A103" s="41" t="str">
        <x:v>HM-3002</x:v>
      </x:c>
      <x:c r="B103" s="41" t="str">
        <x:v>Biceps Curl</x:v>
      </x:c>
      <x:c r="C103" s="41" t="str">
        <x:v>Strength</x:v>
      </x:c>
      <x:c r="D103" s="41" t="str">
        <x:v>Burnsport</x:v>
      </x:c>
      <x:c r="E103" s="41" t="str">
        <x:v>17</x:v>
      </x:c>
      <x:c r="F103" s="42" t="n">
        <x:v>14536</x:v>
      </x:c>
      <x:c r="G103" s="41" t="str">
        <x:v>Nos</x:v>
      </x:c>
      <x:c r="H103" s="41" t="n">
        <x:v>0</x:v>
      </x:c>
      <x:c r="I103" s="41" t="str">
        <x:v>114 × 104 × 140 cm</x:v>
      </x:c>
      <x:c r="J103" s="41" t="str">
        <x:v>Yes</x:v>
      </x:c>
      <x:c r="K103" s="41" t="str">
        <x:v>Yes</x:v>
      </x:c>
    </x:row>
    <x:row r="104">
      <x:c r="A104" s="41" t="str">
        <x:v>HM-3007</x:v>
      </x:c>
      <x:c r="B104" s="41" t="str">
        <x:v>Triceps Extension</x:v>
      </x:c>
      <x:c r="C104" s="41" t="str">
        <x:v>Strength</x:v>
      </x:c>
      <x:c r="D104" s="41" t="str">
        <x:v>Burnsport</x:v>
      </x:c>
      <x:c r="E104" s="41" t="str">
        <x:v>17</x:v>
      </x:c>
      <x:c r="F104" s="42" t="n">
        <x:v>14536</x:v>
      </x:c>
      <x:c r="G104" s="41" t="str">
        <x:v>Nos</x:v>
      </x:c>
      <x:c r="H104" s="41" t="n">
        <x:v>0</x:v>
      </x:c>
      <x:c r="I104" s="41" t="str">
        <x:v>114 × 112 × 140 cm</x:v>
      </x:c>
      <x:c r="J104" s="41" t="str">
        <x:v>Yes</x:v>
      </x:c>
      <x:c r="K104" s="41" t="str">
        <x:v>Yes</x:v>
      </x:c>
    </x:row>
    <x:row r="105">
      <x:c r="A105" s="41" t="str">
        <x:v>HM-3003</x:v>
      </x:c>
      <x:c r="B105" s="41" t="str">
        <x:v>Chest Press</x:v>
      </x:c>
      <x:c r="C105" s="41" t="str">
        <x:v>Strength</x:v>
      </x:c>
      <x:c r="D105" s="41" t="str">
        <x:v>Burnsport</x:v>
      </x:c>
      <x:c r="E105" s="41" t="str">
        <x:v>17</x:v>
      </x:c>
      <x:c r="F105" s="42" t="n">
        <x:v>14536</x:v>
      </x:c>
      <x:c r="G105" s="41" t="str">
        <x:v>Nos</x:v>
      </x:c>
      <x:c r="H105" s="41" t="n">
        <x:v>0</x:v>
      </x:c>
      <x:c r="I105" s="41" t="str">
        <x:v>104 × 145 × 163 cm</x:v>
      </x:c>
      <x:c r="J105" s="41" t="str">
        <x:v>Yes</x:v>
      </x:c>
      <x:c r="K105" s="41" t="str">
        <x:v>Yes</x:v>
      </x:c>
    </x:row>
    <x:row r="106">
      <x:c r="A106" s="41" t="str">
        <x:v>HM-2023</x:v>
      </x:c>
      <x:c r="B106" s="41" t="str">
        <x:v>Barbell Rack</x:v>
      </x:c>
      <x:c r="C106" s="41" t="str">
        <x:v>Strength</x:v>
      </x:c>
      <x:c r="D106" s="41" t="str">
        <x:v>Burnsport</x:v>
      </x:c>
      <x:c r="E106" s="41" t="str">
        <x:v>17</x:v>
      </x:c>
      <x:c r="F106" s="42" t="n">
        <x:v>4351.6</x:v>
      </x:c>
      <x:c r="G106" s="41" t="str">
        <x:v>Nos</x:v>
      </x:c>
      <x:c r="H106" s="41" t="n">
        <x:v>0</x:v>
      </x:c>
      <x:c r="I106" s="41" t="str">
        <x:v>72 × 79 × 152 cm</x:v>
      </x:c>
      <x:c r="J106" s="41" t="str">
        <x:v>Yes</x:v>
      </x:c>
      <x:c r="K106" s="41" t="str">
        <x:v>Yes</x:v>
      </x:c>
    </x:row>
    <x:row r="107">
      <x:c r="A107" s="41" t="str">
        <x:v>HM-2022</x:v>
      </x:c>
      <x:c r="B107" s="41" t="str">
        <x:v>Olympic Bench Weight Storage</x:v>
      </x:c>
      <x:c r="C107" s="41" t="str">
        <x:v>Strength</x:v>
      </x:c>
      <x:c r="D107" s="41" t="str">
        <x:v>Burnsport</x:v>
      </x:c>
      <x:c r="E107" s="41" t="str">
        <x:v>17</x:v>
      </x:c>
      <x:c r="F107" s="42" t="n">
        <x:v>3312</x:v>
      </x:c>
      <x:c r="G107" s="41" t="str">
        <x:v>Nos</x:v>
      </x:c>
      <x:c r="H107" s="41" t="n">
        <x:v>0</x:v>
      </x:c>
      <x:c r="I107" s="41" t="str">
        <x:v>69 × 45 × 117 cm</x:v>
      </x:c>
      <x:c r="J107" s="41" t="str">
        <x:v>Yes</x:v>
      </x:c>
      <x:c r="K107" s="41" t="str">
        <x:v>Yes</x:v>
      </x:c>
    </x:row>
    <x:row r="108">
      <x:c r="A108" s="41" t="str">
        <x:v>HM-2015</x:v>
      </x:c>
      <x:c r="B108" s="41" t="str">
        <x:v>Olympic Squat Rack &amp; Pull Up</x:v>
      </x:c>
      <x:c r="C108" s="41" t="str">
        <x:v>Strength</x:v>
      </x:c>
      <x:c r="D108" s="41" t="str">
        <x:v>Burnsport</x:v>
      </x:c>
      <x:c r="E108" s="41" t="str">
        <x:v>17</x:v>
      </x:c>
      <x:c r="F108" s="42" t="n">
        <x:v>10856</x:v>
      </x:c>
      <x:c r="G108" s="41" t="str">
        <x:v>Nos</x:v>
      </x:c>
      <x:c r="H108" s="41" t="n">
        <x:v>0</x:v>
      </x:c>
      <x:c r="I108" s="41" t="str">
        <x:v>178 × 160 × 222 cm</x:v>
      </x:c>
      <x:c r="J108" s="41" t="str">
        <x:v>Yes</x:v>
      </x:c>
      <x:c r="K108" s="41" t="str">
        <x:v>Yes</x:v>
      </x:c>
    </x:row>
    <x:row r="109">
      <x:c r="A109" s="41" t="str">
        <x:v>HM-2014</x:v>
      </x:c>
      <x:c r="B109" s="41" t="str">
        <x:v>Seated Arm Curl</x:v>
      </x:c>
      <x:c r="C109" s="41" t="str">
        <x:v>Strength</x:v>
      </x:c>
      <x:c r="D109" s="41" t="str">
        <x:v>Burnsport</x:v>
      </x:c>
      <x:c r="E109" s="41" t="str">
        <x:v>17</x:v>
      </x:c>
      <x:c r="F109" s="42" t="n">
        <x:v>3312</x:v>
      </x:c>
      <x:c r="G109" s="41" t="str">
        <x:v>Nos</x:v>
      </x:c>
      <x:c r="H109" s="41" t="n">
        <x:v>0</x:v>
      </x:c>
      <x:c r="I109" s="41" t="str">
        <x:v>97 × 86 × 107 cm</x:v>
      </x:c>
      <x:c r="J109" s="41" t="str">
        <x:v>Yes</x:v>
      </x:c>
      <x:c r="K109" s="41" t="str">
        <x:v>Yes</x:v>
      </x:c>
    </x:row>
    <x:row r="110">
      <x:c r="A110" s="41" t="str">
        <x:v>HM-2021</x:v>
      </x:c>
      <x:c r="B110" s="41" t="str">
        <x:v>Deluxe Weight Tree</x:v>
      </x:c>
      <x:c r="C110" s="41" t="str">
        <x:v>Strength</x:v>
      </x:c>
      <x:c r="D110" s="41" t="str">
        <x:v>Burnsport</x:v>
      </x:c>
      <x:c r="E110" s="41" t="str">
        <x:v>17</x:v>
      </x:c>
      <x:c r="F110" s="42" t="n">
        <x:v>2438</x:v>
      </x:c>
      <x:c r="G110" s="41" t="str">
        <x:v>Nos</x:v>
      </x:c>
      <x:c r="H110" s="41" t="n">
        <x:v>0</x:v>
      </x:c>
      <x:c r="I110" s="41" t="str">
        <x:v>74 × 58 × 99 cm</x:v>
      </x:c>
      <x:c r="J110" s="41" t="str">
        <x:v>Yes</x:v>
      </x:c>
      <x:c r="K110" s="41" t="str">
        <x:v>Yes</x:v>
      </x:c>
    </x:row>
    <x:row r="111">
      <x:c r="A111" s="41" t="str">
        <x:v>HM-3001</x:v>
      </x:c>
      <x:c r="B111" s="41" t="str">
        <x:v>Assist Dip/Chin</x:v>
      </x:c>
      <x:c r="C111" s="41" t="str">
        <x:v>Strength</x:v>
      </x:c>
      <x:c r="D111" s="41" t="str">
        <x:v>Burnsport</x:v>
      </x:c>
      <x:c r="E111" s="41" t="str">
        <x:v>17</x:v>
      </x:c>
      <x:c r="F111" s="42" t="n">
        <x:v>15456</x:v>
      </x:c>
      <x:c r="G111" s="41" t="str">
        <x:v>Nos</x:v>
      </x:c>
      <x:c r="H111" s="41" t="n">
        <x:v>0</x:v>
      </x:c>
      <x:c r="I111" s="41" t="str">
        <x:v>118 × 113 × 221 cm</x:v>
      </x:c>
      <x:c r="J111" s="41" t="str">
        <x:v>Yes</x:v>
      </x:c>
      <x:c r="K111" s="41" t="str">
        <x:v>Yes</x:v>
      </x:c>
    </x:row>
    <x:row r="112">
      <x:c r="A112" s="41" t="str">
        <x:v>HM-2017</x:v>
      </x:c>
      <x:c r="B112" s="41" t="str">
        <x:v>Dumbbell Rack - Two Tier</x:v>
      </x:c>
      <x:c r="C112" s="41" t="str">
        <x:v>Strength</x:v>
      </x:c>
      <x:c r="D112" s="41" t="str">
        <x:v>Burnsport</x:v>
      </x:c>
      <x:c r="E112" s="41" t="str">
        <x:v>17</x:v>
      </x:c>
      <x:c r="F112" s="42" t="n">
        <x:v>3312</x:v>
      </x:c>
      <x:c r="G112" s="41" t="str">
        <x:v>Nos</x:v>
      </x:c>
      <x:c r="H112" s="41" t="n">
        <x:v>0</x:v>
      </x:c>
      <x:c r="I112" s="41" t="str">
        <x:v>229 × 54 × 84 cm</x:v>
      </x:c>
      <x:c r="J112" s="41" t="str">
        <x:v>Yes</x:v>
      </x:c>
      <x:c r="K112" s="41" t="str">
        <x:v>Yes</x:v>
      </x:c>
    </x:row>
    <x:row r="113">
      <x:c r="A113" s="41" t="str">
        <x:v>HM-2006</x:v>
      </x:c>
      <x:c r="B113" s="41" t="str">
        <x:v>Decline Bench</x:v>
      </x:c>
      <x:c r="C113" s="41" t="str">
        <x:v>Strength</x:v>
      </x:c>
      <x:c r="D113" s="41" t="str">
        <x:v>Burnsport</x:v>
      </x:c>
      <x:c r="E113" s="41" t="str">
        <x:v>17</x:v>
      </x:c>
      <x:c r="F113" s="42" t="n">
        <x:v>3404</x:v>
      </x:c>
      <x:c r="G113" s="41" t="str">
        <x:v>Nos</x:v>
      </x:c>
      <x:c r="H113" s="41" t="n">
        <x:v>0</x:v>
      </x:c>
      <x:c r="I113" s="41" t="str">
        <x:v>169 × 60 × 89 cm</x:v>
      </x:c>
      <x:c r="J113" s="41" t="str">
        <x:v>Yes</x:v>
      </x:c>
      <x:c r="K113" s="41" t="str">
        <x:v>Yes</x:v>
      </x:c>
    </x:row>
    <x:row r="114">
      <x:c r="A114" s="41" t="str">
        <x:v>HM-2010</x:v>
      </x:c>
      <x:c r="B114" s="41" t="str">
        <x:v>Hyper Extension</x:v>
      </x:c>
      <x:c r="C114" s="41" t="str">
        <x:v>Strength</x:v>
      </x:c>
      <x:c r="D114" s="41" t="str">
        <x:v>Burnsport</x:v>
      </x:c>
      <x:c r="E114" s="41" t="str">
        <x:v>17</x:v>
      </x:c>
      <x:c r="F114" s="42" t="n">
        <x:v>3864</x:v>
      </x:c>
      <x:c r="G114" s="41" t="str">
        <x:v>Nos</x:v>
      </x:c>
      <x:c r="H114" s="41" t="n">
        <x:v>0</x:v>
      </x:c>
      <x:c r="I114" s="41" t="str">
        <x:v>152 × 72 × 108 cm</x:v>
      </x:c>
      <x:c r="J114" s="41" t="str">
        <x:v>Yes</x:v>
      </x:c>
      <x:c r="K114" s="41" t="str">
        <x:v>Yes</x:v>
      </x:c>
    </x:row>
    <x:row r="115">
      <x:c r="A115" s="41" t="str">
        <x:v>HM-2009C</x:v>
      </x:c>
      <x:c r="B115" s="41" t="str">
        <x:v>Multi-Adjustable Bench</x:v>
      </x:c>
      <x:c r="C115" s="41" t="str">
        <x:v>Strength</x:v>
      </x:c>
      <x:c r="D115" s="41" t="str">
        <x:v>Burnsport</x:v>
      </x:c>
      <x:c r="E115" s="41" t="str">
        <x:v>17</x:v>
      </x:c>
      <x:c r="F115" s="42" t="n">
        <x:v>4324</x:v>
      </x:c>
      <x:c r="G115" s="41" t="str">
        <x:v>Nos</x:v>
      </x:c>
      <x:c r="H115" s="41" t="n">
        <x:v>0</x:v>
      </x:c>
      <x:c r="I115" s="41" t="str">
        <x:v>133 × 57 × 47 cm</x:v>
      </x:c>
      <x:c r="J115" s="41" t="str">
        <x:v>Yes</x:v>
      </x:c>
      <x:c r="K115" s="41" t="str">
        <x:v>Yes</x:v>
      </x:c>
    </x:row>
    <x:row r="116">
      <x:c r="A116" s="41" t="str">
        <x:v>HM-2008</x:v>
      </x:c>
      <x:c r="B116" s="41" t="str">
        <x:v>Flat Bench</x:v>
      </x:c>
      <x:c r="C116" s="41" t="str">
        <x:v>Strength</x:v>
      </x:c>
      <x:c r="D116" s="41" t="str">
        <x:v>Burnsport</x:v>
      </x:c>
      <x:c r="E116" s="41" t="str">
        <x:v>17</x:v>
      </x:c>
      <x:c r="F116" s="42" t="n">
        <x:v>2392</x:v>
      </x:c>
      <x:c r="G116" s="41" t="str">
        <x:v>Nos</x:v>
      </x:c>
      <x:c r="H116" s="41" t="n">
        <x:v>0</x:v>
      </x:c>
      <x:c r="I116" s="41" t="str">
        <x:v>127 × 55 × 41 cm</x:v>
      </x:c>
      <x:c r="J116" s="41" t="str">
        <x:v>Yes</x:v>
      </x:c>
      <x:c r="K116" s="41" t="str">
        <x:v>Yes</x:v>
      </x:c>
    </x:row>
    <x:row r="117">
      <x:c r="A117" s="41" t="str">
        <x:v>HM-2009B</x:v>
      </x:c>
      <x:c r="B117" s="41" t="str">
        <x:v>Multi-angle Bench</x:v>
      </x:c>
      <x:c r="C117" s="41" t="str">
        <x:v>Strength</x:v>
      </x:c>
      <x:c r="D117" s="41" t="str">
        <x:v>Burnsport</x:v>
      </x:c>
      <x:c r="E117" s="41" t="str">
        <x:v>17</x:v>
      </x:c>
      <x:c r="F117" s="42" t="n">
        <x:v>4232</x:v>
      </x:c>
      <x:c r="G117" s="41" t="str">
        <x:v>Nos</x:v>
      </x:c>
      <x:c r="H117" s="41" t="n">
        <x:v>0</x:v>
      </x:c>
      <x:c r="I117" s="41" t="str">
        <x:v>133 × 57 × 47 cm</x:v>
      </x:c>
      <x:c r="J117" s="41" t="str">
        <x:v>Yes</x:v>
      </x:c>
      <x:c r="K117" s="41" t="str">
        <x:v>Yes</x:v>
      </x:c>
    </x:row>
    <x:row r="118">
      <x:c r="A118" s="41" t="str">
        <x:v>HM-2007</x:v>
      </x:c>
      <x:c r="B118" s="41" t="str">
        <x:v>75 Degree Utility Bench</x:v>
      </x:c>
      <x:c r="C118" s="41" t="str">
        <x:v>Strength</x:v>
      </x:c>
      <x:c r="D118" s="41" t="str">
        <x:v>Burnsport</x:v>
      </x:c>
      <x:c r="E118" s="41" t="str">
        <x:v>17</x:v>
      </x:c>
      <x:c r="F118" s="42" t="n">
        <x:v>2208</x:v>
      </x:c>
      <x:c r="G118" s="41" t="str">
        <x:v>Nos</x:v>
      </x:c>
      <x:c r="H118" s="41" t="n">
        <x:v>0</x:v>
      </x:c>
      <x:c r="I118" s="41" t="str">
        <x:v>129 × 66 × 96 cm</x:v>
      </x:c>
      <x:c r="J118" s="41" t="str">
        <x:v>Yes</x:v>
      </x:c>
      <x:c r="K118" s="41" t="str">
        <x:v>Yes</x:v>
      </x:c>
    </x:row>
    <x:row r="119">
      <x:c r="A119" s="41" t="str">
        <x:v>HM-2013</x:v>
      </x:c>
      <x:c r="B119" s="41" t="str">
        <x:v>Glute/Ham</x:v>
      </x:c>
      <x:c r="C119" s="41" t="str">
        <x:v>Strength</x:v>
      </x:c>
      <x:c r="D119" s="41" t="str">
        <x:v>Burnsport</x:v>
      </x:c>
      <x:c r="E119" s="41" t="str">
        <x:v>17</x:v>
      </x:c>
      <x:c r="F119" s="42" t="n">
        <x:v>11776</x:v>
      </x:c>
      <x:c r="G119" s="41" t="str">
        <x:v>Nos</x:v>
      </x:c>
      <x:c r="H119" s="41" t="n">
        <x:v>0</x:v>
      </x:c>
      <x:c r="I119" s="41" t="str">
        <x:v>178 × 84 × 128 cm</x:v>
      </x:c>
      <x:c r="J119" s="41" t="str">
        <x:v>Yes</x:v>
      </x:c>
      <x:c r="K119" s="41" t="str">
        <x:v>Yes</x:v>
      </x:c>
    </x:row>
    <x:row r="120">
      <x:c r="A120" s="41" t="str">
        <x:v>HM-2011</x:v>
      </x:c>
      <x:c r="B120" s="41" t="str">
        <x:v>Chin/Dip/Leg Raise</x:v>
      </x:c>
      <x:c r="C120" s="41" t="str">
        <x:v>Strength</x:v>
      </x:c>
      <x:c r="D120" s="41" t="str">
        <x:v>Burnsport</x:v>
      </x:c>
      <x:c r="E120" s="41" t="str">
        <x:v>17</x:v>
      </x:c>
      <x:c r="F120" s="42" t="n">
        <x:v>6495.2</x:v>
      </x:c>
      <x:c r="G120" s="41" t="str">
        <x:v>Nos</x:v>
      </x:c>
      <x:c r="H120" s="41" t="n">
        <x:v>0</x:v>
      </x:c>
      <x:c r="I120" s="41" t="str">
        <x:v>122 × 111 × 233 cm</x:v>
      </x:c>
      <x:c r="J120" s="41" t="str">
        <x:v>Yes</x:v>
      </x:c>
      <x:c r="K120" s="41" t="str">
        <x:v>Yes</x:v>
      </x:c>
    </x:row>
    <x:row r="121">
      <x:c r="A121" s="41" t="str">
        <x:v>HM-1047</x:v>
      </x:c>
      <x:c r="B121" s="41" t="str">
        <x:v>Ground Base Squat Lunge</x:v>
      </x:c>
      <x:c r="C121" s="41" t="str">
        <x:v>Strength</x:v>
      </x:c>
      <x:c r="D121" s="41" t="str">
        <x:v>Burnsport</x:v>
      </x:c>
      <x:c r="E121" s="41" t="str">
        <x:v>17</x:v>
      </x:c>
      <x:c r="F121" s="42" t="n">
        <x:v>9108</x:v>
      </x:c>
      <x:c r="G121" s="41" t="str">
        <x:v>Nos</x:v>
      </x:c>
      <x:c r="H121" s="41" t="n">
        <x:v>0</x:v>
      </x:c>
      <x:c r="I121" s="41" t="str">
        <x:v>155 × 137 × 94 cm</x:v>
      </x:c>
      <x:c r="J121" s="41" t="str">
        <x:v>Yes</x:v>
      </x:c>
      <x:c r="K121" s="41" t="str">
        <x:v>Yes</x:v>
      </x:c>
    </x:row>
    <x:row r="122">
      <x:c r="A122" s="41" t="str">
        <x:v>HM-2005</x:v>
      </x:c>
      <x:c r="B122" s="41" t="str">
        <x:v>Olympic Squat Rack</x:v>
      </x:c>
      <x:c r="C122" s="41" t="str">
        <x:v>Strength</x:v>
      </x:c>
      <x:c r="D122" s="41" t="str">
        <x:v>Burnsport</x:v>
      </x:c>
      <x:c r="E122" s="41" t="str">
        <x:v>17</x:v>
      </x:c>
      <x:c r="F122" s="42" t="n">
        <x:v>8096</x:v>
      </x:c>
      <x:c r="G122" s="41" t="str">
        <x:v>Nos</x:v>
      </x:c>
      <x:c r="H122" s="41" t="n">
        <x:v>0</x:v>
      </x:c>
      <x:c r="I122" s="41" t="str">
        <x:v>150 × 173 × 185 cm</x:v>
      </x:c>
      <x:c r="J122" s="41" t="str">
        <x:v>Yes</x:v>
      </x:c>
      <x:c r="K122" s="41" t="str">
        <x:v>Yes</x:v>
      </x:c>
    </x:row>
    <x:row r="123">
      <x:c r="A123" s="41" t="str">
        <x:v>HM-1048</x:v>
      </x:c>
      <x:c r="B123" s="41" t="str">
        <x:v>Vertical Smith Machine</x:v>
      </x:c>
      <x:c r="C123" s="41" t="str">
        <x:v>Strength</x:v>
      </x:c>
      <x:c r="D123" s="41" t="str">
        <x:v>Burnsport</x:v>
      </x:c>
      <x:c r="E123" s="41" t="str">
        <x:v>17</x:v>
      </x:c>
      <x:c r="F123" s="42" t="n">
        <x:v>17112</x:v>
      </x:c>
      <x:c r="G123" s="41" t="str">
        <x:v>Nos</x:v>
      </x:c>
      <x:c r="H123" s="41" t="n">
        <x:v>0</x:v>
      </x:c>
      <x:c r="I123" s="41" t="str">
        <x:v>127 × 220 × 237 cm</x:v>
      </x:c>
      <x:c r="J123" s="41" t="str">
        <x:v>Yes</x:v>
      </x:c>
      <x:c r="K123" s="41" t="str">
        <x:v>Yes</x:v>
      </x:c>
    </x:row>
    <x:row r="124">
      <x:c r="A124" s="41" t="str">
        <x:v>HM-1052</x:v>
      </x:c>
      <x:c r="B124" s="41" t="str">
        <x:v>Pendulum Squat</x:v>
      </x:c>
      <x:c r="C124" s="41" t="str">
        <x:v>Strength</x:v>
      </x:c>
      <x:c r="D124" s="41" t="str">
        <x:v>Burnsport</x:v>
      </x:c>
      <x:c r="E124" s="41" t="str">
        <x:v>17</x:v>
      </x:c>
      <x:c r="F124" s="42" t="n">
        <x:v>17112</x:v>
      </x:c>
      <x:c r="G124" s="41" t="str">
        <x:v>Nos</x:v>
      </x:c>
      <x:c r="H124" s="41" t="n">
        <x:v>0</x:v>
      </x:c>
      <x:c r="I124" s="41" t="str">
        <x:v>17</x:v>
      </x:c>
      <x:c r="J124" s="41" t="str">
        <x:v>Yes</x:v>
      </x:c>
      <x:c r="K124" s="41" t="str">
        <x:v>Yes</x:v>
      </x:c>
    </x:row>
    <x:row r="125">
      <x:c r="A125" s="41" t="str">
        <x:v>HM-1049</x:v>
      </x:c>
      <x:c r="B125" s="41" t="str">
        <x:v>Vertical Smith Machine (1049)</x:v>
      </x:c>
      <x:c r="C125" s="41" t="str">
        <x:v>Strength</x:v>
      </x:c>
      <x:c r="D125" s="41" t="str">
        <x:v>Burnsport</x:v>
      </x:c>
      <x:c r="E125" s="41" t="str">
        <x:v>17</x:v>
      </x:c>
      <x:c r="F125" s="42" t="n">
        <x:v>17967.6</x:v>
      </x:c>
      <x:c r="G125" s="41" t="str">
        <x:v>Nos</x:v>
      </x:c>
      <x:c r="H125" s="41" t="n">
        <x:v>0</x:v>
      </x:c>
      <x:c r="I125" s="41" t="str">
        <x:v>126.06 × 228.98 × 233.68 cm</x:v>
      </x:c>
      <x:c r="J125" s="41" t="str">
        <x:v>Yes</x:v>
      </x:c>
      <x:c r="K125" s="41" t="str">
        <x:v>Yes</x:v>
      </x:c>
    </x:row>
    <x:row r="126">
      <x:c r="A126" s="41" t="str">
        <x:v>HM-2001</x:v>
      </x:c>
      <x:c r="B126" s="41" t="str">
        <x:v>Olympic Incline Bench</x:v>
      </x:c>
      <x:c r="C126" s="41" t="str">
        <x:v>Strength</x:v>
      </x:c>
      <x:c r="D126" s="41" t="str">
        <x:v>Burnsport</x:v>
      </x:c>
      <x:c r="E126" s="41" t="str">
        <x:v>17</x:v>
      </x:c>
      <x:c r="F126" s="42" t="n">
        <x:v>5428</x:v>
      </x:c>
      <x:c r="G126" s="41" t="str">
        <x:v>Nos</x:v>
      </x:c>
      <x:c r="H126" s="41" t="n">
        <x:v>0</x:v>
      </x:c>
      <x:c r="I126" s="41" t="str">
        <x:v>130 × 132 × 147 cm</x:v>
      </x:c>
      <x:c r="J126" s="41" t="str">
        <x:v>Yes</x:v>
      </x:c>
      <x:c r="K126" s="41" t="str">
        <x:v>Yes</x:v>
      </x:c>
    </x:row>
    <x:row r="127">
      <x:c r="A127" s="41" t="str">
        <x:v>HM-2002</x:v>
      </x:c>
      <x:c r="B127" s="41" t="str">
        <x:v>Olympic Flat Bench</x:v>
      </x:c>
      <x:c r="C127" s="41" t="str">
        <x:v>Strength</x:v>
      </x:c>
      <x:c r="D127" s="41" t="str">
        <x:v>Burnsport</x:v>
      </x:c>
      <x:c r="E127" s="41" t="str">
        <x:v>17</x:v>
      </x:c>
      <x:c r="F127" s="42" t="n">
        <x:v>4416</x:v>
      </x:c>
      <x:c r="G127" s="41" t="str">
        <x:v>Nos</x:v>
      </x:c>
      <x:c r="H127" s="41" t="n">
        <x:v>0</x:v>
      </x:c>
      <x:c r="I127" s="41" t="str">
        <x:v>133 × 127 × 127 cm</x:v>
      </x:c>
      <x:c r="J127" s="41" t="str">
        <x:v>Yes</x:v>
      </x:c>
      <x:c r="K127" s="41" t="str">
        <x:v>Yes</x:v>
      </x:c>
    </x:row>
    <x:row r="128">
      <x:c r="A128" s="41" t="str">
        <x:v>HM-1044</x:v>
      </x:c>
      <x:c r="B128" s="41" t="str">
        <x:v>Ground Base Combo Incline</x:v>
      </x:c>
      <x:c r="C128" s="41" t="str">
        <x:v>Strength</x:v>
      </x:c>
      <x:c r="D128" s="41" t="str">
        <x:v>Burnsport</x:v>
      </x:c>
      <x:c r="E128" s="41" t="str">
        <x:v>17</x:v>
      </x:c>
      <x:c r="F128" s="42" t="n">
        <x:v>10856</x:v>
      </x:c>
      <x:c r="G128" s="41" t="str">
        <x:v>Nos</x:v>
      </x:c>
      <x:c r="H128" s="41" t="n">
        <x:v>0</x:v>
      </x:c>
      <x:c r="I128" s="41" t="str">
        <x:v>160 × 182 × 183 cm</x:v>
      </x:c>
      <x:c r="J128" s="41" t="str">
        <x:v>Yes</x:v>
      </x:c>
      <x:c r="K128" s="41" t="str">
        <x:v>Yes</x:v>
      </x:c>
    </x:row>
    <x:row r="129">
      <x:c r="A129" s="41" t="str">
        <x:v>HM-1041</x:v>
      </x:c>
      <x:c r="B129" s="41" t="str">
        <x:v>Ground Base Combo Twist</x:v>
      </x:c>
      <x:c r="C129" s="41" t="str">
        <x:v>Strength</x:v>
      </x:c>
      <x:c r="D129" s="41" t="str">
        <x:v>Burnsport</x:v>
      </x:c>
      <x:c r="E129" s="41" t="str">
        <x:v>17</x:v>
      </x:c>
      <x:c r="F129" s="42" t="n">
        <x:v>10672</x:v>
      </x:c>
      <x:c r="G129" s="41" t="str">
        <x:v>Nos</x:v>
      </x:c>
      <x:c r="H129" s="41" t="n">
        <x:v>0</x:v>
      </x:c>
      <x:c r="I129" s="41" t="str">
        <x:v>151 × 151 × 122 cm</x:v>
      </x:c>
      <x:c r="J129" s="41" t="str">
        <x:v>Yes</x:v>
      </x:c>
      <x:c r="K129" s="41" t="str">
        <x:v>Yes</x:v>
      </x:c>
    </x:row>
    <x:row r="130">
      <x:c r="A130" s="41" t="str">
        <x:v>HM-1045</x:v>
      </x:c>
      <x:c r="B130" s="41" t="str">
        <x:v>Ground Base Combo Decline</x:v>
      </x:c>
      <x:c r="C130" s="41" t="str">
        <x:v>Strength</x:v>
      </x:c>
      <x:c r="D130" s="41" t="str">
        <x:v>Burnsport</x:v>
      </x:c>
      <x:c r="E130" s="41" t="str">
        <x:v>17</x:v>
      </x:c>
      <x:c r="F130" s="42" t="n">
        <x:v>11592</x:v>
      </x:c>
      <x:c r="G130" s="41" t="str">
        <x:v>Nos</x:v>
      </x:c>
      <x:c r="H130" s="41" t="n">
        <x:v>0</x:v>
      </x:c>
      <x:c r="I130" s="41" t="str">
        <x:v>129 × 179 × 239 cm</x:v>
      </x:c>
      <x:c r="J130" s="41" t="str">
        <x:v>Yes</x:v>
      </x:c>
      <x:c r="K130" s="41" t="str">
        <x:v>Yes</x:v>
      </x:c>
    </x:row>
    <x:row r="131">
      <x:c r="A131" s="41" t="str">
        <x:v>HM-1038-B</x:v>
      </x:c>
      <x:c r="B131" s="41" t="str">
        <x:v>Belt Squat (1038-B)</x:v>
      </x:c>
      <x:c r="C131" s="41" t="str">
        <x:v>Strength</x:v>
      </x:c>
      <x:c r="D131" s="41" t="str">
        <x:v>Burnsport</x:v>
      </x:c>
      <x:c r="E131" s="41" t="str">
        <x:v>17</x:v>
      </x:c>
      <x:c r="F131" s="42" t="n">
        <x:v>18492</x:v>
      </x:c>
      <x:c r="G131" s="41" t="str">
        <x:v>Nos</x:v>
      </x:c>
      <x:c r="H131" s="41" t="n">
        <x:v>0</x:v>
      </x:c>
      <x:c r="I131" s="41" t="str">
        <x:v>198 × 160 × 249.5 cm</x:v>
      </x:c>
      <x:c r="J131" s="41" t="str">
        <x:v>Yes</x:v>
      </x:c>
      <x:c r="K131" s="41" t="str">
        <x:v>Yes</x:v>
      </x:c>
    </x:row>
    <x:row r="132">
      <x:c r="A132" s="41" t="str">
        <x:v>HM-1039</x:v>
      </x:c>
      <x:c r="B132" s="41" t="str">
        <x:v>Iso-lateral Leg Extension</x:v>
      </x:c>
      <x:c r="C132" s="41" t="str">
        <x:v>Strength</x:v>
      </x:c>
      <x:c r="D132" s="41" t="str">
        <x:v>Burnsport</x:v>
      </x:c>
      <x:c r="E132" s="41" t="str">
        <x:v>17</x:v>
      </x:c>
      <x:c r="F132" s="42" t="n">
        <x:v>11592</x:v>
      </x:c>
      <x:c r="G132" s="41" t="str">
        <x:v>Nos</x:v>
      </x:c>
      <x:c r="H132" s="41" t="n">
        <x:v>0</x:v>
      </x:c>
      <x:c r="I132" s="41" t="str">
        <x:v>153 × 186 × 137 cm</x:v>
      </x:c>
      <x:c r="J132" s="41" t="str">
        <x:v>Yes</x:v>
      </x:c>
      <x:c r="K132" s="41" t="str">
        <x:v>Yes</x:v>
      </x:c>
    </x:row>
    <x:row r="133">
      <x:c r="A133" s="41" t="str">
        <x:v>HM-1034</x:v>
      </x:c>
      <x:c r="B133" s="41" t="str">
        <x:v>Super Horizontal Calf</x:v>
      </x:c>
      <x:c r="C133" s="41" t="str">
        <x:v>Strength</x:v>
      </x:c>
      <x:c r="D133" s="41" t="str">
        <x:v>Burnsport</x:v>
      </x:c>
      <x:c r="E133" s="41" t="str">
        <x:v>17</x:v>
      </x:c>
      <x:c r="F133" s="42" t="n">
        <x:v>9936</x:v>
      </x:c>
      <x:c r="G133" s="41" t="str">
        <x:v>Nos</x:v>
      </x:c>
      <x:c r="H133" s="41" t="n">
        <x:v>0</x:v>
      </x:c>
      <x:c r="I133" s="41" t="str">
        <x:v>163 × 145 × 152 cm</x:v>
      </x:c>
      <x:c r="J133" s="41" t="str">
        <x:v>Yes</x:v>
      </x:c>
      <x:c r="K133" s="41" t="str">
        <x:v>Yes</x:v>
      </x:c>
    </x:row>
    <x:row r="134">
      <x:c r="A134" s="41" t="str">
        <x:v>HM-1035</x:v>
      </x:c>
      <x:c r="B134" s="41" t="str">
        <x:v>Leg Press</x:v>
      </x:c>
      <x:c r="C134" s="41" t="str">
        <x:v>Strength</x:v>
      </x:c>
      <x:c r="D134" s="41" t="str">
        <x:v>Burnsport</x:v>
      </x:c>
      <x:c r="E134" s="41" t="str">
        <x:v>17</x:v>
      </x:c>
      <x:c r="F134" s="42" t="n">
        <x:v>11776</x:v>
      </x:c>
      <x:c r="G134" s="41" t="str">
        <x:v>Nos</x:v>
      </x:c>
      <x:c r="H134" s="41" t="n">
        <x:v>0</x:v>
      </x:c>
      <x:c r="I134" s="41" t="str">
        <x:v>158 × 245 × 144 cm</x:v>
      </x:c>
      <x:c r="J134" s="41" t="str">
        <x:v>Yes</x:v>
      </x:c>
      <x:c r="K134" s="41" t="str">
        <x:v>Yes</x:v>
      </x:c>
    </x:row>
    <x:row r="135">
      <x:c r="A135" s="41" t="str">
        <x:v>HM-1038</x:v>
      </x:c>
      <x:c r="B135" s="41" t="str">
        <x:v>Belt Squat</x:v>
      </x:c>
      <x:c r="C135" s="41" t="str">
        <x:v>Strength</x:v>
      </x:c>
      <x:c r="D135" s="41" t="str">
        <x:v>Burnsport</x:v>
      </x:c>
      <x:c r="E135" s="41" t="str">
        <x:v>17</x:v>
      </x:c>
      <x:c r="F135" s="42" t="n">
        <x:v>17112</x:v>
      </x:c>
      <x:c r="G135" s="41" t="str">
        <x:v>Nos</x:v>
      </x:c>
      <x:c r="H135" s="41" t="n">
        <x:v>0</x:v>
      </x:c>
      <x:c r="I135" s="41" t="str">
        <x:v>198 × 160 × 132 cm</x:v>
      </x:c>
      <x:c r="J135" s="41" t="str">
        <x:v>Yes</x:v>
      </x:c>
      <x:c r="K135" s="41" t="str">
        <x:v>Yes</x:v>
      </x:c>
    </x:row>
    <x:row r="136">
      <x:c r="A136" s="41" t="str">
        <x:v>HM-1040</x:v>
      </x:c>
      <x:c r="B136" s="41" t="str">
        <x:v>Ground Base Jammer</x:v>
      </x:c>
      <x:c r="C136" s="41" t="str">
        <x:v>Strength</x:v>
      </x:c>
      <x:c r="D136" s="41" t="str">
        <x:v>Burnsport</x:v>
      </x:c>
      <x:c r="E136" s="41" t="str">
        <x:v>17</x:v>
      </x:c>
      <x:c r="F136" s="42" t="n">
        <x:v>10304</x:v>
      </x:c>
      <x:c r="G136" s="41" t="str">
        <x:v>Nos</x:v>
      </x:c>
      <x:c r="H136" s="41" t="n">
        <x:v>0</x:v>
      </x:c>
      <x:c r="I136" s="41" t="str">
        <x:v>202 × 167 × 212 cm</x:v>
      </x:c>
      <x:c r="J136" s="41" t="str">
        <x:v>Yes</x:v>
      </x:c>
      <x:c r="K136" s="41" t="str">
        <x:v>Yes</x:v>
      </x:c>
    </x:row>
    <x:row r="137">
      <x:c r="A137" s="41" t="str">
        <x:v>HM-1030</x:v>
      </x:c>
      <x:c r="B137" s="41" t="str">
        <x:v>Iso-lateral Leg Press</x:v>
      </x:c>
      <x:c r="C137" s="41" t="str">
        <x:v>Strength</x:v>
      </x:c>
      <x:c r="D137" s="41" t="str">
        <x:v>Burnsport</x:v>
      </x:c>
      <x:c r="E137" s="41" t="str">
        <x:v>17</x:v>
      </x:c>
      <x:c r="F137" s="42" t="n">
        <x:v>14352</x:v>
      </x:c>
      <x:c r="G137" s="41" t="str">
        <x:v>Nos</x:v>
      </x:c>
      <x:c r="H137" s="41" t="n">
        <x:v>0</x:v>
      </x:c>
      <x:c r="I137" s="41" t="str">
        <x:v>219 × 219 × 162 cm</x:v>
      </x:c>
      <x:c r="J137" s="41" t="str">
        <x:v>Yes</x:v>
      </x:c>
      <x:c r="K137" s="41" t="str">
        <x:v>Yes</x:v>
      </x:c>
    </x:row>
    <x:row r="138">
      <x:c r="A138" s="41" t="str">
        <x:v>HM-1031</x:v>
      </x:c>
      <x:c r="B138" s="41" t="str">
        <x:v>Leg Extension</x:v>
      </x:c>
      <x:c r="C138" s="41" t="str">
        <x:v>Strength</x:v>
      </x:c>
      <x:c r="D138" s="41" t="str">
        <x:v>Burnsport</x:v>
      </x:c>
      <x:c r="E138" s="41" t="str">
        <x:v>17</x:v>
      </x:c>
      <x:c r="F138" s="42" t="n">
        <x:v>11592</x:v>
      </x:c>
      <x:c r="G138" s="41" t="str">
        <x:v>Nos</x:v>
      </x:c>
      <x:c r="H138" s="41" t="n">
        <x:v>0</x:v>
      </x:c>
      <x:c r="I138" s="41" t="str">
        <x:v>164 × 155 × 129 cm</x:v>
      </x:c>
      <x:c r="J138" s="41" t="str">
        <x:v>Yes</x:v>
      </x:c>
      <x:c r="K138" s="41" t="str">
        <x:v>Yes</x:v>
      </x:c>
    </x:row>
    <x:row r="139">
      <x:c r="A139" s="41" t="str">
        <x:v>HM-1028</x:v>
      </x:c>
      <x:c r="B139" s="41" t="str">
        <x:v>Glute Drive</x:v>
      </x:c>
      <x:c r="C139" s="41" t="str">
        <x:v>Strength</x:v>
      </x:c>
      <x:c r="D139" s="41" t="str">
        <x:v>Burnsport</x:v>
      </x:c>
      <x:c r="E139" s="41" t="str">
        <x:v>17</x:v>
      </x:c>
      <x:c r="F139" s="42" t="n">
        <x:v>11776</x:v>
      </x:c>
      <x:c r="G139" s="41" t="str">
        <x:v>Nos</x:v>
      </x:c>
      <x:c r="H139" s="41" t="n">
        <x:v>0</x:v>
      </x:c>
      <x:c r="I139" s="41" t="str">
        <x:v>173 × 149 × 102 cm</x:v>
      </x:c>
      <x:c r="J139" s="41" t="str">
        <x:v>Yes</x:v>
      </x:c>
      <x:c r="K139" s="41" t="str">
        <x:v>Yes</x:v>
      </x:c>
    </x:row>
    <x:row r="140">
      <x:c r="A140" s="41" t="str">
        <x:v>HM-1029</x:v>
      </x:c>
      <x:c r="B140" s="41" t="str">
        <x:v>Linear Leg Press</x:v>
      </x:c>
      <x:c r="C140" s="41" t="str">
        <x:v>Strength</x:v>
      </x:c>
      <x:c r="D140" s="41" t="str">
        <x:v>Burnsport</x:v>
      </x:c>
      <x:c r="E140" s="41" t="str">
        <x:v>17</x:v>
      </x:c>
      <x:c r="F140" s="42" t="n">
        <x:v>17112</x:v>
      </x:c>
      <x:c r="G140" s="41" t="str">
        <x:v>Nos</x:v>
      </x:c>
      <x:c r="H140" s="41" t="n">
        <x:v>0</x:v>
      </x:c>
      <x:c r="I140" s="41" t="str">
        <x:v>241 × 165 × 145 cm</x:v>
      </x:c>
      <x:c r="J140" s="41" t="str">
        <x:v>Yes</x:v>
      </x:c>
      <x:c r="K140" s="41" t="str">
        <x:v>Yes</x:v>
      </x:c>
    </x:row>
    <x:row r="141">
      <x:c r="A141" s="41" t="str">
        <x:v>HM-1027</x:v>
      </x:c>
      <x:c r="B141" s="41" t="str">
        <x:v>Iso-lateral Kneeling Leg Curl</x:v>
      </x:c>
      <x:c r="C141" s="41" t="str">
        <x:v>Strength</x:v>
      </x:c>
      <x:c r="D141" s="41" t="str">
        <x:v>Burnsport</x:v>
      </x:c>
      <x:c r="E141" s="41" t="str">
        <x:v>17</x:v>
      </x:c>
      <x:c r="F141" s="42" t="n">
        <x:v>11316</x:v>
      </x:c>
      <x:c r="G141" s="41" t="str">
        <x:v>Nos</x:v>
      </x:c>
      <x:c r="H141" s="41" t="n">
        <x:v>0</x:v>
      </x:c>
      <x:c r="I141" s="41" t="str">
        <x:v>109 × 127 × 119 cm</x:v>
      </x:c>
      <x:c r="J141" s="41" t="str">
        <x:v>Yes</x:v>
      </x:c>
      <x:c r="K141" s="41" t="str">
        <x:v>Yes</x:v>
      </x:c>
    </x:row>
    <x:row r="142">
      <x:c r="A142" s="41" t="str">
        <x:v>HM-1032</x:v>
      </x:c>
      <x:c r="B142" s="41" t="str">
        <x:v>Iso-lateral Leg Curl</x:v>
      </x:c>
      <x:c r="C142" s="41" t="str">
        <x:v>Strength</x:v>
      </x:c>
      <x:c r="D142" s="41" t="str">
        <x:v>Burnsport</x:v>
      </x:c>
      <x:c r="E142" s="41" t="str">
        <x:v>17</x:v>
      </x:c>
      <x:c r="F142" s="42" t="n">
        <x:v>10948</x:v>
      </x:c>
      <x:c r="G142" s="41" t="str">
        <x:v>Nos</x:v>
      </x:c>
      <x:c r="H142" s="41" t="n">
        <x:v>0</x:v>
      </x:c>
      <x:c r="I142" s="41" t="str">
        <x:v>134 × 207 × 106 cm</x:v>
      </x:c>
      <x:c r="J142" s="41" t="str">
        <x:v>Yes</x:v>
      </x:c>
      <x:c r="K142" s="41" t="str">
        <x:v>Yes</x:v>
      </x:c>
    </x:row>
    <x:row r="143">
      <x:c r="A143" s="41" t="str">
        <x:v>HM-1021</x:v>
      </x:c>
      <x:c r="B143" s="41" t="str">
        <x:v>T-Bar Row</x:v>
      </x:c>
      <x:c r="C143" s="41" t="str">
        <x:v>Strength</x:v>
      </x:c>
      <x:c r="D143" s="41" t="str">
        <x:v>Burnsport</x:v>
      </x:c>
      <x:c r="E143" s="41" t="str">
        <x:v>17</x:v>
      </x:c>
      <x:c r="F143" s="42" t="n">
        <x:v>7580.8</x:v>
      </x:c>
      <x:c r="G143" s="41" t="str">
        <x:v>Nos</x:v>
      </x:c>
      <x:c r="H143" s="41" t="n">
        <x:v>0</x:v>
      </x:c>
      <x:c r="I143" s="41" t="str">
        <x:v>210 × 82 × 53 cm</x:v>
      </x:c>
      <x:c r="J143" s="41" t="str">
        <x:v>Yes</x:v>
      </x:c>
      <x:c r="K143" s="41" t="str">
        <x:v>Yes</x:v>
      </x:c>
    </x:row>
    <x:row r="144">
      <x:c r="A144" s="41" t="str">
        <x:v>HM-1024</x:v>
      </x:c>
      <x:c r="B144" s="41" t="str">
        <x:v>Vertical Squat PL-VSQ</x:v>
      </x:c>
      <x:c r="C144" s="41" t="str">
        <x:v>Strength</x:v>
      </x:c>
      <x:c r="D144" s="41" t="str">
        <x:v>Burnsport</x:v>
      </x:c>
      <x:c r="E144" s="41" t="str">
        <x:v>17</x:v>
      </x:c>
      <x:c r="F144" s="42" t="n">
        <x:v>16284</x:v>
      </x:c>
      <x:c r="G144" s="41" t="str">
        <x:v>Nos</x:v>
      </x:c>
      <x:c r="H144" s="41" t="n">
        <x:v>0</x:v>
      </x:c>
      <x:c r="I144" s="41" t="str">
        <x:v>247 × 107 × 205 cm</x:v>
      </x:c>
      <x:c r="J144" s="41" t="str">
        <x:v>Yes</x:v>
      </x:c>
      <x:c r="K144" s="41" t="str">
        <x:v>Yes</x:v>
      </x:c>
    </x:row>
    <x:row r="145">
      <x:c r="A145" s="41" t="str">
        <x:v>HM-1025</x:v>
      </x:c>
      <x:c r="B145" s="41" t="str">
        <x:v>Seated Calf Raise</x:v>
      </x:c>
      <x:c r="C145" s="41" t="str">
        <x:v>Strength</x:v>
      </x:c>
      <x:c r="D145" s="41" t="str">
        <x:v>Burnsport</x:v>
      </x:c>
      <x:c r="E145" s="41" t="str">
        <x:v>17</x:v>
      </x:c>
      <x:c r="F145" s="42" t="n">
        <x:v>7599.2</x:v>
      </x:c>
      <x:c r="G145" s="41" t="str">
        <x:v>Nos</x:v>
      </x:c>
      <x:c r="H145" s="41" t="n">
        <x:v>0</x:v>
      </x:c>
      <x:c r="I145" s="41" t="str">
        <x:v>124 × 84 × 137 cm</x:v>
      </x:c>
      <x:c r="J145" s="41" t="str">
        <x:v>Yes</x:v>
      </x:c>
      <x:c r="K145" s="41" t="str">
        <x:v>Yes</x:v>
      </x:c>
    </x:row>
    <x:row r="146">
      <x:c r="A146" s="41" t="str">
        <x:v>HM-1026B</x:v>
      </x:c>
      <x:c r="B146" s="41" t="str">
        <x:v>45 Degree Hack Squat</x:v>
      </x:c>
      <x:c r="C146" s="41" t="str">
        <x:v>Strength</x:v>
      </x:c>
      <x:c r="D146" s="41" t="str">
        <x:v>Burnsport</x:v>
      </x:c>
      <x:c r="E146" s="41" t="str">
        <x:v>17</x:v>
      </x:c>
      <x:c r="F146" s="42" t="n">
        <x:v>17112</x:v>
      </x:c>
      <x:c r="G146" s="41" t="str">
        <x:v>Nos</x:v>
      </x:c>
      <x:c r="H146" s="41" t="n">
        <x:v>0</x:v>
      </x:c>
      <x:c r="I146" s="41" t="str">
        <x:v>216 × 155 × 153 cm</x:v>
      </x:c>
      <x:c r="J146" s="41" t="str">
        <x:v>Yes</x:v>
      </x:c>
      <x:c r="K146" s="41" t="str">
        <x:v>Yes</x:v>
      </x:c>
    </x:row>
    <x:row r="147">
      <x:c r="A147" s="41" t="str">
        <x:v>HM-1023</x:v>
      </x:c>
      <x:c r="B147" s="41" t="str">
        <x:v>Abdominal Oblique Crunch</x:v>
      </x:c>
      <x:c r="C147" s="41" t="str">
        <x:v>Strength</x:v>
      </x:c>
      <x:c r="D147" s="41" t="str">
        <x:v>Burnsport</x:v>
      </x:c>
      <x:c r="E147" s="41" t="str">
        <x:v>17</x:v>
      </x:c>
      <x:c r="F147" s="42" t="n">
        <x:v>11776</x:v>
      </x:c>
      <x:c r="G147" s="41" t="str">
        <x:v>Nos</x:v>
      </x:c>
      <x:c r="H147" s="41" t="n">
        <x:v>0</x:v>
      </x:c>
      <x:c r="I147" s="41" t="str">
        <x:v>148 × 144 × 165 cm</x:v>
      </x:c>
      <x:c r="J147" s="41" t="str">
        <x:v>Yes</x:v>
      </x:c>
      <x:c r="K147" s="41" t="str">
        <x:v>Yes</x:v>
      </x:c>
    </x:row>
    <x:row r="148">
      <x:c r="A148" s="41" t="str">
        <x:v>HM-1024B</x:v>
      </x:c>
      <x:c r="B148" s="41" t="str">
        <x:v>Vertical Squat PL-VSQ (1024B)</x:v>
      </x:c>
      <x:c r="C148" s="41" t="str">
        <x:v>Strength</x:v>
      </x:c>
      <x:c r="D148" s="41" t="str">
        <x:v>Burnsport</x:v>
      </x:c>
      <x:c r="E148" s="41" t="str">
        <x:v>17</x:v>
      </x:c>
      <x:c r="F148" s="42" t="n">
        <x:v>16284</x:v>
      </x:c>
      <x:c r="G148" s="41" t="str">
        <x:v>Nos</x:v>
      </x:c>
      <x:c r="H148" s="41" t="n">
        <x:v>0</x:v>
      </x:c>
      <x:c r="I148" s="41" t="str">
        <x:v>247 × 107 × 205 cm</x:v>
      </x:c>
      <x:c r="J148" s="41" t="str">
        <x:v>Yes</x:v>
      </x:c>
      <x:c r="K148" s="41" t="str">
        <x:v>Yes</x:v>
      </x:c>
    </x:row>
    <x:row r="149">
      <x:c r="A149" s="41" t="str">
        <x:v>HM-1026</x:v>
      </x:c>
      <x:c r="B149" s="41" t="str">
        <x:v>Linear Hack Squat</x:v>
      </x:c>
      <x:c r="C149" s="41" t="str">
        <x:v>Strength</x:v>
      </x:c>
      <x:c r="D149" s="41" t="str">
        <x:v>Burnsport</x:v>
      </x:c>
      <x:c r="E149" s="41" t="str">
        <x:v>17</x:v>
      </x:c>
      <x:c r="F149" s="42" t="n">
        <x:v>15456</x:v>
      </x:c>
      <x:c r="G149" s="41" t="str">
        <x:v>Nos</x:v>
      </x:c>
      <x:c r="H149" s="41" t="n">
        <x:v>0</x:v>
      </x:c>
      <x:c r="I149" s="41" t="str">
        <x:v>213 × 155 × 137 cm</x:v>
      </x:c>
      <x:c r="J149" s="41" t="str">
        <x:v>Yes</x:v>
      </x:c>
      <x:c r="K149" s="41" t="str">
        <x:v>Yes</x:v>
      </x:c>
    </x:row>
    <x:row r="150">
      <x:c r="A150" s="41" t="str">
        <x:v>HM-1018</x:v>
      </x:c>
      <x:c r="B150" s="41" t="str">
        <x:v>Iso-lateral High Row</x:v>
      </x:c>
      <x:c r="C150" s="41" t="str">
        <x:v>Strength</x:v>
      </x:c>
      <x:c r="D150" s="41" t="str">
        <x:v>Burnsport</x:v>
      </x:c>
      <x:c r="E150" s="41" t="str">
        <x:v>17</x:v>
      </x:c>
      <x:c r="F150" s="42" t="n">
        <x:v>10856</x:v>
      </x:c>
      <x:c r="G150" s="41" t="str">
        <x:v>Nos</x:v>
      </x:c>
      <x:c r="H150" s="41" t="n">
        <x:v>0</x:v>
      </x:c>
      <x:c r="I150" s="41" t="str">
        <x:v>155 × 104 × 201 cm</x:v>
      </x:c>
      <x:c r="J150" s="41" t="str">
        <x:v>Yes</x:v>
      </x:c>
      <x:c r="K150" s="41" t="str">
        <x:v>Yes</x:v>
      </x:c>
    </x:row>
    <x:row r="151">
      <x:c r="A151" s="41" t="str">
        <x:v>HM-1018B</x:v>
      </x:c>
      <x:c r="B151" s="41" t="str">
        <x:v>Iso-lateral High Row (1018-B)</x:v>
      </x:c>
      <x:c r="C151" s="41" t="str">
        <x:v>Strength</x:v>
      </x:c>
      <x:c r="D151" s="41" t="str">
        <x:v>Burnsport</x:v>
      </x:c>
      <x:c r="E151" s="41" t="str">
        <x:v>17</x:v>
      </x:c>
      <x:c r="F151" s="42" t="n">
        <x:v>10948</x:v>
      </x:c>
      <x:c r="G151" s="41" t="str">
        <x:v>Nos</x:v>
      </x:c>
      <x:c r="H151" s="41" t="n">
        <x:v>0</x:v>
      </x:c>
      <x:c r="I151" s="41" t="str">
        <x:v>155 × 104 × 201 cm</x:v>
      </x:c>
      <x:c r="J151" s="41" t="str">
        <x:v>Yes</x:v>
      </x:c>
      <x:c r="K151" s="41" t="str">
        <x:v>Yes</x:v>
      </x:c>
    </x:row>
    <x:row r="152">
      <x:c r="A152" s="41" t="str">
        <x:v>HM-1020</x:v>
      </x:c>
      <x:c r="B152" s="41" t="str">
        <x:v>Iso-lateral Shoulder Press</x:v>
      </x:c>
      <x:c r="C152" s="41" t="str">
        <x:v>Strength</x:v>
      </x:c>
      <x:c r="D152" s="41" t="str">
        <x:v>Burnsport</x:v>
      </x:c>
      <x:c r="E152" s="41" t="str">
        <x:v>17</x:v>
      </x:c>
      <x:c r="F152" s="42" t="n">
        <x:v>10856</x:v>
      </x:c>
      <x:c r="G152" s="41" t="str">
        <x:v>Nos</x:v>
      </x:c>
      <x:c r="H152" s="41" t="n">
        <x:v>0</x:v>
      </x:c>
      <x:c r="I152" s="41" t="str">
        <x:v>130 × 147 × 188 cm</x:v>
      </x:c>
      <x:c r="J152" s="41" t="str">
        <x:v>Yes</x:v>
      </x:c>
      <x:c r="K152" s="41" t="str">
        <x:v>Yes</x:v>
      </x:c>
    </x:row>
    <x:row r="153">
      <x:c r="A153" s="41" t="str">
        <x:v>HM-1012</x:v>
      </x:c>
      <x:c r="B153" s="41" t="str">
        <x:v>Iso-lateral Wide Pull Down</x:v>
      </x:c>
      <x:c r="C153" s="41" t="str">
        <x:v>Strength</x:v>
      </x:c>
      <x:c r="D153" s="41" t="str">
        <x:v>Burnsport</x:v>
      </x:c>
      <x:c r="E153" s="41" t="str">
        <x:v>17</x:v>
      </x:c>
      <x:c r="F153" s="42" t="n">
        <x:v>11776</x:v>
      </x:c>
      <x:c r="G153" s="41" t="str">
        <x:v>Nos</x:v>
      </x:c>
      <x:c r="H153" s="41" t="n">
        <x:v>0</x:v>
      </x:c>
      <x:c r="I153" s="41" t="str">
        <x:v>180 × 107 × 203 cm</x:v>
      </x:c>
      <x:c r="J153" s="41" t="str">
        <x:v>Yes</x:v>
      </x:c>
      <x:c r="K153" s="41" t="str">
        <x:v>Yes</x:v>
      </x:c>
    </x:row>
    <x:row r="154">
      <x:c r="A154" s="41" t="str">
        <x:v>HM-1011</x:v>
      </x:c>
      <x:c r="B154" s="41" t="str">
        <x:v>Iso-lateral Chest/Back</x:v>
      </x:c>
      <x:c r="C154" s="41" t="str">
        <x:v>Strength</x:v>
      </x:c>
      <x:c r="D154" s="41" t="str">
        <x:v>Burnsport</x:v>
      </x:c>
      <x:c r="E154" s="41" t="str">
        <x:v>17</x:v>
      </x:c>
      <x:c r="F154" s="42" t="n">
        <x:v>17112</x:v>
      </x:c>
      <x:c r="G154" s="41" t="str">
        <x:v>Nos</x:v>
      </x:c>
      <x:c r="H154" s="41" t="n">
        <x:v>0</x:v>
      </x:c>
      <x:c r="I154" s="41" t="str">
        <x:v>183 × 132 × 208 cm</x:v>
      </x:c>
      <x:c r="J154" s="41" t="str">
        <x:v>Yes</x:v>
      </x:c>
      <x:c r="K154" s="41" t="str">
        <x:v>Yes</x:v>
      </x:c>
    </x:row>
    <x:row r="155">
      <x:c r="A155" s="41" t="str">
        <x:v>HM-1013</x:v>
      </x:c>
      <x:c r="B155" s="41" t="str">
        <x:v>Iso-lateral D.Y. Row</x:v>
      </x:c>
      <x:c r="C155" s="41" t="str">
        <x:v>Strength</x:v>
      </x:c>
      <x:c r="D155" s="41" t="str">
        <x:v>Burnsport</x:v>
      </x:c>
      <x:c r="E155" s="41" t="str">
        <x:v>17</x:v>
      </x:c>
      <x:c r="F155" s="42" t="n">
        <x:v>10856</x:v>
      </x:c>
      <x:c r="G155" s="41" t="str">
        <x:v>Nos</x:v>
      </x:c>
      <x:c r="H155" s="41" t="n">
        <x:v>0</x:v>
      </x:c>
      <x:c r="I155" s="41" t="str">
        <x:v>130 × 142 × 208 cm</x:v>
      </x:c>
      <x:c r="J155" s="41" t="str">
        <x:v>Yes</x:v>
      </x:c>
      <x:c r="K155" s="41" t="str">
        <x:v>Yes</x:v>
      </x:c>
    </x:row>
    <x:row r="156">
      <x:c r="A156" s="41" t="str">
        <x:v>HM-1016</x:v>
      </x:c>
      <x:c r="B156" s="41" t="str">
        <x:v>Seated Dip</x:v>
      </x:c>
      <x:c r="C156" s="41" t="str">
        <x:v>Strength</x:v>
      </x:c>
      <x:c r="D156" s="41" t="str">
        <x:v>Burnsport</x:v>
      </x:c>
      <x:c r="E156" s="41" t="str">
        <x:v>17</x:v>
      </x:c>
      <x:c r="F156" s="42" t="n">
        <x:v>10672</x:v>
      </x:c>
      <x:c r="G156" s="41" t="str">
        <x:v>Nos</x:v>
      </x:c>
      <x:c r="H156" s="41" t="n">
        <x:v>0</x:v>
      </x:c>
      <x:c r="I156" s="41" t="str">
        <x:v>182 × 124 × 109 cm</x:v>
      </x:c>
      <x:c r="J156" s="41" t="str">
        <x:v>Yes</x:v>
      </x:c>
      <x:c r="K156" s="41" t="str">
        <x:v>Yes</x:v>
      </x:c>
    </x:row>
    <x:row r="157">
      <x:c r="A157" s="41" t="str">
        <x:v>HM-1015</x:v>
      </x:c>
      <x:c r="B157" s="41" t="str">
        <x:v>Seated Biceps</x:v>
      </x:c>
      <x:c r="C157" s="41" t="str">
        <x:v>Strength</x:v>
      </x:c>
      <x:c r="D157" s="41" t="str">
        <x:v>Burnsport</x:v>
      </x:c>
      <x:c r="E157" s="41" t="str">
        <x:v>17</x:v>
      </x:c>
      <x:c r="F157" s="42" t="n">
        <x:v>10856</x:v>
      </x:c>
      <x:c r="G157" s="41" t="str">
        <x:v>Nos</x:v>
      </x:c>
      <x:c r="H157" s="41" t="n">
        <x:v>0</x:v>
      </x:c>
      <x:c r="I157" s="41" t="str">
        <x:v>127 × 110 × 136 cm</x:v>
      </x:c>
      <x:c r="J157" s="41" t="str">
        <x:v>Yes</x:v>
      </x:c>
      <x:c r="K157" s="41" t="str">
        <x:v>Yes</x:v>
      </x:c>
    </x:row>
    <x:row r="158">
      <x:c r="A158" s="41" t="str">
        <x:v>HM-1014</x:v>
      </x:c>
      <x:c r="B158" s="41" t="str">
        <x:v>Iso-lateral Low Row</x:v>
      </x:c>
      <x:c r="C158" s="41" t="str">
        <x:v>Strength</x:v>
      </x:c>
      <x:c r="D158" s="41" t="str">
        <x:v>Burnsport</x:v>
      </x:c>
      <x:c r="E158" s="41" t="str">
        <x:v>17</x:v>
      </x:c>
      <x:c r="F158" s="42" t="n">
        <x:v>10856</x:v>
      </x:c>
      <x:c r="G158" s="41" t="str">
        <x:v>Nos</x:v>
      </x:c>
      <x:c r="H158" s="41" t="n">
        <x:v>0</x:v>
      </x:c>
      <x:c r="I158" s="41" t="str">
        <x:v>121 × 135 × 208 cm</x:v>
      </x:c>
      <x:c r="J158" s="41" t="str">
        <x:v>Yes</x:v>
      </x:c>
      <x:c r="K158" s="41" t="str">
        <x:v>Yes</x:v>
      </x:c>
    </x:row>
    <x:row r="159">
      <x:c r="A159" s="41" t="str">
        <x:v>HM-1017</x:v>
      </x:c>
      <x:c r="B159" s="41" t="str">
        <x:v>Pullover</x:v>
      </x:c>
      <x:c r="C159" s="41" t="str">
        <x:v>Strength</x:v>
      </x:c>
      <x:c r="D159" s="41" t="str">
        <x:v>Burnsport</x:v>
      </x:c>
      <x:c r="E159" s="41" t="str">
        <x:v>17</x:v>
      </x:c>
      <x:c r="F159" s="42" t="n">
        <x:v>11776</x:v>
      </x:c>
      <x:c r="G159" s="41" t="str">
        <x:v>Nos</x:v>
      </x:c>
      <x:c r="H159" s="41" t="n">
        <x:v>0</x:v>
      </x:c>
      <x:c r="I159" s="41" t="str">
        <x:v>162 × 144 × 148 cm</x:v>
      </x:c>
      <x:c r="J159" s="41" t="str">
        <x:v>Yes</x:v>
      </x:c>
      <x:c r="K159" s="41" t="str">
        <x:v>Yes</x:v>
      </x:c>
    </x:row>
    <x:row r="160">
      <x:c r="A160" s="41" t="str">
        <x:v>HM-1010</x:v>
      </x:c>
      <x:c r="B160" s="41" t="str">
        <x:v>Lateral Raise</x:v>
      </x:c>
      <x:c r="C160" s="41" t="str">
        <x:v>Strength</x:v>
      </x:c>
      <x:c r="D160" s="41" t="str">
        <x:v>Burnsport</x:v>
      </x:c>
      <x:c r="E160" s="41" t="str">
        <x:v>17</x:v>
      </x:c>
      <x:c r="F160" s="42" t="n">
        <x:v>10672</x:v>
      </x:c>
      <x:c r="G160" s="41" t="str">
        <x:v>Nos</x:v>
      </x:c>
      <x:c r="H160" s="41" t="n">
        <x:v>0</x:v>
      </x:c>
      <x:c r="I160" s="41" t="str">
        <x:v>121 × 135 × 169 cm</x:v>
      </x:c>
      <x:c r="J160" s="41" t="str">
        <x:v>Yes</x:v>
      </x:c>
      <x:c r="K160" s="41" t="str">
        <x:v>Yes</x:v>
      </x:c>
    </x:row>
    <x:row r="161">
      <x:c r="A161" s="41" t="str">
        <x:v>HM-1005</x:v>
      </x:c>
      <x:c r="B161" s="41" t="str">
        <x:v>Iso-lateral Bench Press -Horizontal Handles</x:v>
      </x:c>
      <x:c r="C161" s="41" t="str">
        <x:v>Strength</x:v>
      </x:c>
      <x:c r="D161" s="41" t="str">
        <x:v>Burnsport</x:v>
      </x:c>
      <x:c r="E161" s="41" t="str">
        <x:v>17</x:v>
      </x:c>
      <x:c r="F161" s="42" t="n">
        <x:v>11776</x:v>
      </x:c>
      <x:c r="G161" s="41" t="str">
        <x:v>Nos</x:v>
      </x:c>
      <x:c r="H161" s="41" t="n">
        <x:v>0</x:v>
      </x:c>
      <x:c r="I161" s="41" t="str">
        <x:v>125 × 132 × 175 cm</x:v>
      </x:c>
      <x:c r="J161" s="41" t="str">
        <x:v>Yes</x:v>
      </x:c>
      <x:c r="K161" s="41" t="str">
        <x:v>Yes</x:v>
      </x:c>
    </x:row>
    <x:row r="162">
      <x:c r="A162" s="41" t="str">
        <x:v>HM-1008</x:v>
      </x:c>
      <x:c r="B162" s="41" t="str">
        <x:v>Iso-lateral Wide Chest</x:v>
      </x:c>
      <x:c r="C162" s="41" t="str">
        <x:v>Strength</x:v>
      </x:c>
      <x:c r="D162" s="41" t="str">
        <x:v>Burnsport</x:v>
      </x:c>
      <x:c r="E162" s="41" t="str">
        <x:v>17</x:v>
      </x:c>
      <x:c r="F162" s="42" t="n">
        <x:v>11776</x:v>
      </x:c>
      <x:c r="G162" s="41" t="str">
        <x:v>Nos</x:v>
      </x:c>
      <x:c r="H162" s="41" t="n">
        <x:v>0</x:v>
      </x:c>
      <x:c r="I162" s="41" t="str">
        <x:v>114 × 175 × 175 cm</x:v>
      </x:c>
      <x:c r="J162" s="41" t="str">
        <x:v>Yes</x:v>
      </x:c>
      <x:c r="K162" s="41" t="str">
        <x:v>Yes</x:v>
      </x:c>
    </x:row>
    <x:row r="163">
      <x:c r="A163" s="41" t="str">
        <x:v>HM-1009</x:v>
      </x:c>
      <x:c r="B163" s="41" t="str">
        <x:v>Iso-lateral Horizontal Bench Press</x:v>
      </x:c>
      <x:c r="C163" s="41" t="str">
        <x:v>Strength</x:v>
      </x:c>
      <x:c r="D163" s="41" t="str">
        <x:v>Burnsport</x:v>
      </x:c>
      <x:c r="E163" s="41" t="str">
        <x:v>17</x:v>
      </x:c>
      <x:c r="F163" s="42" t="n">
        <x:v>10856</x:v>
      </x:c>
      <x:c r="G163" s="41" t="str">
        <x:v>Nos</x:v>
      </x:c>
      <x:c r="H163" s="41" t="n">
        <x:v>0</x:v>
      </x:c>
      <x:c r="I163" s="41" t="str">
        <x:v>153 × 175 × 146 cm</x:v>
      </x:c>
      <x:c r="J163" s="41" t="str">
        <x:v>Yes</x:v>
      </x:c>
      <x:c r="K163" s="41" t="str">
        <x:v>Yes</x:v>
      </x:c>
    </x:row>
    <x:row r="164">
      <x:c r="A164" s="41" t="str">
        <x:v>HM-1004</x:v>
      </x:c>
      <x:c r="B164" s="41" t="str">
        <x:v>Iso-lateral Incline Press</x:v>
      </x:c>
      <x:c r="C164" s="41" t="str">
        <x:v>Strength</x:v>
      </x:c>
      <x:c r="D164" s="41" t="str">
        <x:v>Burnsport</x:v>
      </x:c>
      <x:c r="E164" s="41" t="str">
        <x:v>17</x:v>
      </x:c>
      <x:c r="F164" s="42" t="n">
        <x:v>11776</x:v>
      </x:c>
      <x:c r="G164" s="41" t="str">
        <x:v>Nos</x:v>
      </x:c>
      <x:c r="H164" s="41" t="n">
        <x:v>0</x:v>
      </x:c>
      <x:c r="I164" s="41" t="str">
        <x:v>99 × 132 × 191 cm</x:v>
      </x:c>
      <x:c r="J164" s="41" t="str">
        <x:v>Yes</x:v>
      </x:c>
      <x:c r="K164" s="41" t="str">
        <x:v>Yes</x:v>
      </x:c>
    </x:row>
    <x:row r="165">
      <x:c r="A165" s="41" t="str">
        <x:v>HM-1003</x:v>
      </x:c>
      <x:c r="B165" s="41" t="str">
        <x:v>Iso-lateral Decline Chest Press</x:v>
      </x:c>
      <x:c r="C165" s="41" t="str">
        <x:v>Strength</x:v>
      </x:c>
      <x:c r="D165" s="41" t="str">
        <x:v>Burnsport</x:v>
      </x:c>
      <x:c r="E165" s="41" t="str">
        <x:v>17</x:v>
      </x:c>
      <x:c r="F165" s="42" t="n">
        <x:v>11776</x:v>
      </x:c>
      <x:c r="G165" s="41" t="str">
        <x:v>Nos</x:v>
      </x:c>
      <x:c r="H165" s="41" t="n">
        <x:v>0</x:v>
      </x:c>
      <x:c r="I165" s="41" t="str">
        <x:v>130 × 137 × 173 cm</x:v>
      </x:c>
      <x:c r="J165" s="41" t="str">
        <x:v>Yes</x:v>
      </x:c>
      <x:c r="K165" s="41" t="str">
        <x:v>Yes</x:v>
      </x:c>
    </x:row>
    <x:row r="166">
      <x:c r="A166" s="41" t="str">
        <x:v>HM-1007</x:v>
      </x:c>
      <x:c r="B166" s="41" t="str">
        <x:v>Iso-lateral Super Incline Press</x:v>
      </x:c>
      <x:c r="C166" s="41" t="str">
        <x:v>Strength</x:v>
      </x:c>
      <x:c r="D166" s="41" t="str">
        <x:v>Burnsport</x:v>
      </x:c>
      <x:c r="E166" s="41" t="str">
        <x:v>17</x:v>
      </x:c>
      <x:c r="F166" s="42" t="n">
        <x:v>10856</x:v>
      </x:c>
      <x:c r="G166" s="41" t="str">
        <x:v>Nos</x:v>
      </x:c>
      <x:c r="H166" s="41" t="n">
        <x:v>0</x:v>
      </x:c>
      <x:c r="I166" s="41" t="str">
        <x:v>127 × 150 × 152 cm</x:v>
      </x:c>
      <x:c r="J166" s="41" t="str">
        <x:v>Yes</x:v>
      </x:c>
      <x:c r="K166" s="41" t="str">
        <x:v>Yes</x:v>
      </x:c>
    </x:row>
    <x:row r="167">
      <x:c r="A167" s="41" t="str">
        <x:v>HM-1002</x:v>
      </x:c>
      <x:c r="B167" s="41" t="str">
        <x:v>Iso-lateral Front Lat Pulldown</x:v>
      </x:c>
      <x:c r="C167" s="41" t="str">
        <x:v>Strength</x:v>
      </x:c>
      <x:c r="D167" s="41" t="str">
        <x:v>Burnsport</x:v>
      </x:c>
      <x:c r="E167" s="41" t="str">
        <x:v>17</x:v>
      </x:c>
      <x:c r="F167" s="42" t="n">
        <x:v>10856</x:v>
      </x:c>
      <x:c r="G167" s="41" t="str">
        <x:v>Nos</x:v>
      </x:c>
      <x:c r="H167" s="41" t="n">
        <x:v>0</x:v>
      </x:c>
      <x:c r="I167" s="41" t="str">
        <x:v>165 × 104 × 203 cm</x:v>
      </x:c>
      <x:c r="J167" s="41" t="str">
        <x:v>Yes</x:v>
      </x:c>
      <x:c r="K167" s="41" t="str">
        <x:v>Yes</x:v>
      </x:c>
    </x:row>
    <x:row r="168">
      <x:c r="A168" s="41" t="str">
        <x:v>HM-1001</x:v>
      </x:c>
      <x:c r="B168" s="41" t="str">
        <x:v>Iso-lateral Row</x:v>
      </x:c>
      <x:c r="C168" s="41" t="str">
        <x:v>Strength</x:v>
      </x:c>
      <x:c r="D168" s="41" t="str">
        <x:v>Burnsport</x:v>
      </x:c>
      <x:c r="E168" s="41" t="str">
        <x:v>17</x:v>
      </x:c>
      <x:c r="F168" s="42" t="n">
        <x:v>11776</x:v>
      </x:c>
      <x:c r="G168" s="41" t="str">
        <x:v>Nos</x:v>
      </x:c>
      <x:c r="H168" s="41" t="n">
        <x:v>0</x:v>
      </x:c>
      <x:c r="I168" s="41" t="str">
        <x:v>121 × 154 × 144 cm</x:v>
      </x:c>
      <x:c r="J168" s="41" t="str">
        <x:v>Yes</x:v>
      </x:c>
      <x:c r="K168" s="41" t="str">
        <x:v>Yes</x:v>
      </x:c>
    </x:row>
    <x:row r="169">
      <x:c r="A169" s="41" t="str">
        <x:v>CD-003</x:v>
      </x:c>
      <x:c r="B169" s="41" t="str">
        <x:v>Elliptical Machine</x:v>
      </x:c>
      <x:c r="C169" s="41" t="str">
        <x:v>Cardio</x:v>
      </x:c>
      <x:c r="D169" s="41" t="str">
        <x:v>Burnsport</x:v>
      </x:c>
      <x:c r="E169" s="41" t="str">
        <x:v>17</x:v>
      </x:c>
      <x:c r="F169" s="42" t="n">
        <x:v>9000</x:v>
      </x:c>
      <x:c r="G169" s="41" t="str">
        <x:v>Nos</x:v>
      </x:c>
      <x:c r="H169" s="41" t="n">
        <x:v>0</x:v>
      </x:c>
      <x:c r="I169" s="41" t="str">
        <x:v>17</x:v>
      </x:c>
      <x:c r="J169" s="41" t="str">
        <x:v>Yes</x:v>
      </x:c>
      <x:c r="K169" s="41" t="str">
        <x:v>Yes</x:v>
      </x:c>
    </x:row>
    <x:row r="170">
      <x:c r="A170" s="41" t="str">
        <x:v>CD-005</x:v>
      </x:c>
      <x:c r="B170" s="41" t="str">
        <x:v>Upright Bike</x:v>
      </x:c>
      <x:c r="C170" s="41" t="str">
        <x:v>Cardio</x:v>
      </x:c>
      <x:c r="D170" s="41" t="str">
        <x:v>Burnsport</x:v>
      </x:c>
      <x:c r="E170" s="41" t="str">
        <x:v>17</x:v>
      </x:c>
      <x:c r="F170" s="42" t="n">
        <x:v>6250</x:v>
      </x:c>
      <x:c r="G170" s="41" t="str">
        <x:v>Nos</x:v>
      </x:c>
      <x:c r="H170" s="41" t="n">
        <x:v>0</x:v>
      </x:c>
      <x:c r="I170" s="41" t="str">
        <x:v>17</x:v>
      </x:c>
      <x:c r="J170" s="41" t="str">
        <x:v>Yes</x:v>
      </x:c>
      <x:c r="K170" s="41" t="str">
        <x:v>Yes</x:v>
      </x:c>
    </x:row>
    <x:row r="171">
      <x:c r="A171" s="41" t="str">
        <x:v>CD-006</x:v>
      </x:c>
      <x:c r="B171" s="41" t="str">
        <x:v>Spinning Bike</x:v>
      </x:c>
      <x:c r="C171" s="41" t="str">
        <x:v>Cardio</x:v>
      </x:c>
      <x:c r="D171" s="41" t="str">
        <x:v>Burnsport</x:v>
      </x:c>
      <x:c r="E171" s="41" t="str">
        <x:v>17</x:v>
      </x:c>
      <x:c r="F171" s="42" t="n">
        <x:v>3500</x:v>
      </x:c>
      <x:c r="G171" s="41" t="str">
        <x:v>Nos</x:v>
      </x:c>
      <x:c r="H171" s="41" t="n">
        <x:v>0</x:v>
      </x:c>
      <x:c r="I171" s="41" t="str">
        <x:v>17</x:v>
      </x:c>
      <x:c r="J171" s="41" t="str">
        <x:v>Yes</x:v>
      </x:c>
      <x:c r="K171" s="41" t="str">
        <x:v>Yes</x:v>
      </x:c>
    </x:row>
    <x:row r="172">
      <x:c r="A172" s="41" t="str">
        <x:v>CD-004</x:v>
      </x:c>
      <x:c r="B172" s="41" t="str">
        <x:v>Recumbent Bike</x:v>
      </x:c>
      <x:c r="C172" s="41" t="str">
        <x:v>Cardio</x:v>
      </x:c>
      <x:c r="D172" s="41" t="str">
        <x:v>Burnsport</x:v>
      </x:c>
      <x:c r="E172" s="41" t="str">
        <x:v>17</x:v>
      </x:c>
      <x:c r="F172" s="42" t="n">
        <x:v>6500</x:v>
      </x:c>
      <x:c r="G172" s="41" t="str">
        <x:v>Nos</x:v>
      </x:c>
      <x:c r="H172" s="41" t="n">
        <x:v>0</x:v>
      </x:c>
      <x:c r="I172" s="41" t="str">
        <x:v>17</x:v>
      </x:c>
      <x:c r="J172" s="41" t="str">
        <x:v>Yes</x:v>
      </x:c>
      <x:c r="K172" s="41" t="str">
        <x:v>Yes</x:v>
      </x:c>
    </x:row>
    <x:row r="173">
      <x:c r="A173" s="41" t="str">
        <x:v>CD-007</x:v>
      </x:c>
      <x:c r="B173" s="41" t="str">
        <x:v>Air Rowing Machine</x:v>
      </x:c>
      <x:c r="C173" s="41" t="str">
        <x:v>Cardio</x:v>
      </x:c>
      <x:c r="D173" s="41" t="str">
        <x:v>Burnsport</x:v>
      </x:c>
      <x:c r="E173" s="41" t="str">
        <x:v>17</x:v>
      </x:c>
      <x:c r="F173" s="42" t="n">
        <x:v>4000</x:v>
      </x:c>
      <x:c r="G173" s="41" t="str">
        <x:v>Nos</x:v>
      </x:c>
      <x:c r="H173" s="41" t="n">
        <x:v>0</x:v>
      </x:c>
      <x:c r="I173" s="41" t="str">
        <x:v>17</x:v>
      </x:c>
      <x:c r="J173" s="41" t="str">
        <x:v>Yes</x:v>
      </x:c>
      <x:c r="K173" s="41" t="str">
        <x:v>Yes</x:v>
      </x:c>
    </x:row>
    <x:row r="174">
      <x:c r="A174" s="41" t="str">
        <x:v>CD-008</x:v>
      </x:c>
      <x:c r="B174" s="41" t="str">
        <x:v>Skierg</x:v>
      </x:c>
      <x:c r="C174" s="41" t="str">
        <x:v>Cardio</x:v>
      </x:c>
      <x:c r="D174" s="41" t="str">
        <x:v>Burnsport</x:v>
      </x:c>
      <x:c r="E174" s="41" t="str">
        <x:v>17</x:v>
      </x:c>
      <x:c r="F174" s="42" t="n">
        <x:v>5500</x:v>
      </x:c>
      <x:c r="G174" s="41" t="str">
        <x:v>Nos</x:v>
      </x:c>
      <x:c r="H174" s="41" t="n">
        <x:v>0</x:v>
      </x:c>
      <x:c r="I174" s="41" t="str">
        <x:v>17</x:v>
      </x:c>
      <x:c r="J174" s="41" t="str">
        <x:v>Yes</x:v>
      </x:c>
      <x:c r="K174" s="41" t="str">
        <x:v>Yes</x:v>
      </x:c>
    </x:row>
    <x:row r="175">
      <x:c r="A175" s="41" t="str">
        <x:v>CD-002</x:v>
      </x:c>
      <x:c r="B175" s="41" t="str">
        <x:v>Elliptical Cross Trainer</x:v>
      </x:c>
      <x:c r="C175" s="41" t="str">
        <x:v>Cardio</x:v>
      </x:c>
      <x:c r="D175" s="41" t="str">
        <x:v>Burnsport</x:v>
      </x:c>
      <x:c r="E175" s="41" t="str">
        <x:v>17</x:v>
      </x:c>
      <x:c r="F175" s="42" t="n">
        <x:v>9000</x:v>
      </x:c>
      <x:c r="G175" s="41" t="str">
        <x:v>Nos</x:v>
      </x:c>
      <x:c r="H175" s="41" t="n">
        <x:v>0</x:v>
      </x:c>
      <x:c r="I175" s="41" t="str">
        <x:v>17</x:v>
      </x:c>
      <x:c r="J175" s="41" t="str">
        <x:v>Yes</x:v>
      </x:c>
      <x:c r="K175" s="41" t="str">
        <x:v>Yes</x:v>
      </x:c>
    </x:row>
    <x:row r="176">
      <x:c r="A176" s="41" t="str">
        <x:v>CD-001</x:v>
      </x:c>
      <x:c r="B176" s="41" t="str">
        <x:v>Commerical Treadmill</x:v>
      </x:c>
      <x:c r="C176" s="41" t="str">
        <x:v>Cardio</x:v>
      </x:c>
      <x:c r="D176" s="41" t="str">
        <x:v>Burnsport</x:v>
      </x:c>
      <x:c r="E176" s="41" t="str">
        <x:v>17</x:v>
      </x:c>
      <x:c r="F176" s="42" t="n">
        <x:v>12500</x:v>
      </x:c>
      <x:c r="G176" s="41" t="str">
        <x:v>Nos</x:v>
      </x:c>
      <x:c r="H176" s="41" t="n">
        <x:v>0</x:v>
      </x:c>
      <x:c r="I176" s="41" t="str">
        <x:v>17</x:v>
      </x:c>
      <x:c r="J176" s="41" t="str">
        <x:v>Yes</x:v>
      </x:c>
      <x:c r="K176" s="41" t="str">
        <x:v>Yes</x:v>
      </x:c>
    </x:row>
    <x:row r="177">
      <x:c r="A177" s="41" t="str">
        <x:v>BRN-004-5</x:v>
      </x:c>
      <x:c r="B177" s="41" t="str">
        <x:v>Rubber Weight Plate - 20 kg</x:v>
      </x:c>
      <x:c r="C177" s="41" t="str">
        <x:v>Weights</x:v>
      </x:c>
      <x:c r="D177" s="41" t="str">
        <x:v>Burnsport</x:v>
      </x:c>
      <x:c r="E177" s="41" t="str">
        <x:v>17</x:v>
      </x:c>
      <x:c r="F177" s="42" t="n">
        <x:v>280</x:v>
      </x:c>
      <x:c r="G177" s="41" t="str">
        <x:v>Nos</x:v>
      </x:c>
      <x:c r="H177" s="41" t="n">
        <x:v>0</x:v>
      </x:c>
      <x:c r="I177" s="41" t="str">
        <x:v>17</x:v>
      </x:c>
      <x:c r="J177" s="41" t="str">
        <x:v>Yes</x:v>
      </x:c>
      <x:c r="K177" s="41" t="str">
        <x:v>Yes</x:v>
      </x:c>
    </x:row>
    <x:row r="178">
      <x:c r="A178" s="41" t="str">
        <x:v>BRN-003-5</x:v>
      </x:c>
      <x:c r="B178" s="41" t="str">
        <x:v>PU Weight Plate - 20 kg</x:v>
      </x:c>
      <x:c r="C178" s="41" t="str">
        <x:v>Weights</x:v>
      </x:c>
      <x:c r="D178" s="41" t="str">
        <x:v>Burnsport</x:v>
      </x:c>
      <x:c r="E178" s="41" t="str">
        <x:v>17</x:v>
      </x:c>
      <x:c r="F178" s="42" t="n">
        <x:v>360</x:v>
      </x:c>
      <x:c r="G178" s="41" t="str">
        <x:v>Nos</x:v>
      </x:c>
      <x:c r="H178" s="41" t="n">
        <x:v>0</x:v>
      </x:c>
      <x:c r="I178" s="41" t="str">
        <x:v>17</x:v>
      </x:c>
      <x:c r="J178" s="41" t="str">
        <x:v>Yes</x:v>
      </x:c>
      <x:c r="K178" s="41" t="str">
        <x:v>Yes</x:v>
      </x:c>
    </x:row>
    <x:row r="179">
      <x:c r="A179" s="41" t="str">
        <x:v>BRN-004-2</x:v>
      </x:c>
      <x:c r="B179" s="41" t="str">
        <x:v>Rubber Weight Plate - 5 kg</x:v>
      </x:c>
      <x:c r="C179" s="41" t="str">
        <x:v>Weights</x:v>
      </x:c>
      <x:c r="D179" s="41" t="str">
        <x:v>Burnsport</x:v>
      </x:c>
      <x:c r="E179" s="41" t="str">
        <x:v>17</x:v>
      </x:c>
      <x:c r="F179" s="42" t="n">
        <x:v>70</x:v>
      </x:c>
      <x:c r="G179" s="41" t="str">
        <x:v>Nos</x:v>
      </x:c>
      <x:c r="H179" s="41" t="n">
        <x:v>0</x:v>
      </x:c>
      <x:c r="I179" s="41" t="str">
        <x:v>17</x:v>
      </x:c>
      <x:c r="J179" s="41" t="str">
        <x:v>Yes</x:v>
      </x:c>
      <x:c r="K179" s="41" t="str">
        <x:v>Yes</x:v>
      </x:c>
    </x:row>
    <x:row r="180">
      <x:c r="A180" s="41" t="str">
        <x:v>BRN-004-4</x:v>
      </x:c>
      <x:c r="B180" s="41" t="str">
        <x:v>Rubber Weight Plate - 15 kg</x:v>
      </x:c>
      <x:c r="C180" s="41" t="str">
        <x:v>Weights</x:v>
      </x:c>
      <x:c r="D180" s="41" t="str">
        <x:v>Burnsport</x:v>
      </x:c>
      <x:c r="E180" s="41" t="str">
        <x:v>17</x:v>
      </x:c>
      <x:c r="F180" s="42" t="n">
        <x:v>210</x:v>
      </x:c>
      <x:c r="G180" s="41" t="str">
        <x:v>Nos</x:v>
      </x:c>
      <x:c r="H180" s="41" t="n">
        <x:v>0</x:v>
      </x:c>
      <x:c r="I180" s="41" t="str">
        <x:v>17</x:v>
      </x:c>
      <x:c r="J180" s="41" t="str">
        <x:v>Yes</x:v>
      </x:c>
      <x:c r="K180" s="41" t="str">
        <x:v>Yes</x:v>
      </x:c>
    </x:row>
    <x:row r="181">
      <x:c r="A181" s="41" t="str">
        <x:v>BRN-004-3</x:v>
      </x:c>
      <x:c r="B181" s="41" t="str">
        <x:v>Rubber Weight Plate - 10 kg</x:v>
      </x:c>
      <x:c r="C181" s="41" t="str">
        <x:v>Weights</x:v>
      </x:c>
      <x:c r="D181" s="41" t="str">
        <x:v>Burnsport</x:v>
      </x:c>
      <x:c r="E181" s="41" t="str">
        <x:v>17</x:v>
      </x:c>
      <x:c r="F181" s="42" t="n">
        <x:v>140</x:v>
      </x:c>
      <x:c r="G181" s="41" t="str">
        <x:v>Nos</x:v>
      </x:c>
      <x:c r="H181" s="41" t="n">
        <x:v>0</x:v>
      </x:c>
      <x:c r="I181" s="41" t="str">
        <x:v>17</x:v>
      </x:c>
      <x:c r="J181" s="41" t="str">
        <x:v>Yes</x:v>
      </x:c>
      <x:c r="K181" s="41" t="str">
        <x:v>Yes</x:v>
      </x:c>
    </x:row>
    <x:row r="182">
      <x:c r="A182" s="41" t="str">
        <x:v>BRN-003-4</x:v>
      </x:c>
      <x:c r="B182" s="41" t="str">
        <x:v>PU Weight Plate - 15 kg</x:v>
      </x:c>
      <x:c r="C182" s="41" t="str">
        <x:v>Weights</x:v>
      </x:c>
      <x:c r="D182" s="41" t="str">
        <x:v>Burnsport</x:v>
      </x:c>
      <x:c r="E182" s="41" t="str">
        <x:v>17</x:v>
      </x:c>
      <x:c r="F182" s="42" t="n">
        <x:v>270</x:v>
      </x:c>
      <x:c r="G182" s="41" t="str">
        <x:v>Nos</x:v>
      </x:c>
      <x:c r="H182" s="41" t="n">
        <x:v>0</x:v>
      </x:c>
      <x:c r="I182" s="41" t="str">
        <x:v>17</x:v>
      </x:c>
      <x:c r="J182" s="41" t="str">
        <x:v>Yes</x:v>
      </x:c>
      <x:c r="K182" s="41" t="str">
        <x:v>Yes</x:v>
      </x:c>
    </x:row>
    <x:row r="183">
      <x:c r="A183" s="41" t="str">
        <x:v>BRN-004</x:v>
      </x:c>
      <x:c r="B183" s="41" t="str">
        <x:v>Rubber Weight Plate - 2.5 kg</x:v>
      </x:c>
      <x:c r="C183" s="41" t="str">
        <x:v>Weights</x:v>
      </x:c>
      <x:c r="D183" s="41" t="str">
        <x:v>Burnsport</x:v>
      </x:c>
      <x:c r="E183" s="41" t="str">
        <x:v>17</x:v>
      </x:c>
      <x:c r="F183" s="42" t="n">
        <x:v>35</x:v>
      </x:c>
      <x:c r="G183" s="41" t="str">
        <x:v>Nos</x:v>
      </x:c>
      <x:c r="H183" s="41" t="n">
        <x:v>0</x:v>
      </x:c>
      <x:c r="I183" s="41" t="str">
        <x:v>17</x:v>
      </x:c>
      <x:c r="J183" s="41" t="str">
        <x:v>Yes</x:v>
      </x:c>
      <x:c r="K183" s="41" t="str">
        <x:v>Yes</x:v>
      </x:c>
    </x:row>
    <x:row r="184">
      <x:c r="A184" s="41" t="str">
        <x:v>BRN-003-3</x:v>
      </x:c>
      <x:c r="B184" s="41" t="str">
        <x:v>PU Weight Plate - 10 kg</x:v>
      </x:c>
      <x:c r="C184" s="41" t="str">
        <x:v>Weights</x:v>
      </x:c>
      <x:c r="D184" s="41" t="str">
        <x:v>Burnsport</x:v>
      </x:c>
      <x:c r="E184" s="41" t="str">
        <x:v>17</x:v>
      </x:c>
      <x:c r="F184" s="42" t="n">
        <x:v>180</x:v>
      </x:c>
      <x:c r="G184" s="41" t="str">
        <x:v>Nos</x:v>
      </x:c>
      <x:c r="H184" s="41" t="n">
        <x:v>0</x:v>
      </x:c>
      <x:c r="I184" s="41" t="str">
        <x:v>17</x:v>
      </x:c>
      <x:c r="J184" s="41" t="str">
        <x:v>Yes</x:v>
      </x:c>
      <x:c r="K184" s="41" t="str">
        <x:v>Yes</x:v>
      </x:c>
    </x:row>
    <x:row r="185">
      <x:c r="A185" s="41" t="str">
        <x:v>BRN-003</x:v>
      </x:c>
      <x:c r="B185" s="41" t="str">
        <x:v>PU Weight Plate - 2.5 kg</x:v>
      </x:c>
      <x:c r="C185" s="41" t="str">
        <x:v>Weights</x:v>
      </x:c>
      <x:c r="D185" s="41" t="str">
        <x:v>Burnsport</x:v>
      </x:c>
      <x:c r="E185" s="41" t="str">
        <x:v>17</x:v>
      </x:c>
      <x:c r="F185" s="42" t="n">
        <x:v>45</x:v>
      </x:c>
      <x:c r="G185" s="41" t="str">
        <x:v>Nos</x:v>
      </x:c>
      <x:c r="H185" s="41" t="n">
        <x:v>0</x:v>
      </x:c>
      <x:c r="I185" s="41" t="str">
        <x:v>17</x:v>
      </x:c>
      <x:c r="J185" s="41" t="str">
        <x:v>Yes</x:v>
      </x:c>
      <x:c r="K185" s="41" t="str">
        <x:v>Yes</x:v>
      </x:c>
    </x:row>
    <x:row r="186">
      <x:c r="A186" s="41" t="str">
        <x:v>BRN-003-2</x:v>
      </x:c>
      <x:c r="B186" s="41" t="str">
        <x:v>PU Weight Plate - 5 kg</x:v>
      </x:c>
      <x:c r="C186" s="41" t="str">
        <x:v>Weights</x:v>
      </x:c>
      <x:c r="D186" s="41" t="str">
        <x:v>Burnsport</x:v>
      </x:c>
      <x:c r="E186" s="41" t="str">
        <x:v>17</x:v>
      </x:c>
      <x:c r="F186" s="42" t="n">
        <x:v>90</x:v>
      </x:c>
      <x:c r="G186" s="41" t="str">
        <x:v>Nos</x:v>
      </x:c>
      <x:c r="H186" s="41" t="n">
        <x:v>0</x:v>
      </x:c>
      <x:c r="I186" s="41" t="str">
        <x:v>17</x:v>
      </x:c>
      <x:c r="J186" s="41" t="str">
        <x:v>Yes</x:v>
      </x:c>
      <x:c r="K186" s="41" t="str">
        <x:v>Yes</x:v>
      </x:c>
    </x:row>
    <x:row r="187">
      <x:c r="A187" s="41" t="str">
        <x:v>BRN-001-2</x:v>
      </x:c>
      <x:c r="B187" s="41" t="str">
        <x:v>PU Dumbbells Set - 2.5–50 kg</x:v>
      </x:c>
      <x:c r="C187" s="41" t="str">
        <x:v>Weights</x:v>
      </x:c>
      <x:c r="D187" s="41" t="str">
        <x:v>Burnsport</x:v>
      </x:c>
      <x:c r="E187" s="41" t="str">
        <x:v>17</x:v>
      </x:c>
      <x:c r="F187" s="42" t="n">
        <x:v>16500</x:v>
      </x:c>
      <x:c r="G187" s="41" t="str">
        <x:v>Nos</x:v>
      </x:c>
      <x:c r="H187" s="41" t="n">
        <x:v>0</x:v>
      </x:c>
      <x:c r="I187" s="41" t="str">
        <x:v>1,050 kg</x:v>
      </x:c>
      <x:c r="J187" s="41" t="str">
        <x:v>Yes</x:v>
      </x:c>
      <x:c r="K187" s="41" t="str">
        <x:v>Yes</x:v>
      </x:c>
    </x:row>
    <x:row r="188">
      <x:c r="A188" s="41" t="str">
        <x:v>BRN-002-2</x:v>
      </x:c>
      <x:c r="B188" s="41" t="str">
        <x:v>Rubber Dumbbells Set - 2.5–50 kg</x:v>
      </x:c>
      <x:c r="C188" s="41" t="str">
        <x:v>Weights</x:v>
      </x:c>
      <x:c r="D188" s="41" t="str">
        <x:v>Burnsport</x:v>
      </x:c>
      <x:c r="E188" s="41" t="str">
        <x:v>17</x:v>
      </x:c>
      <x:c r="F188" s="42" t="n">
        <x:v>15500</x:v>
      </x:c>
      <x:c r="G188" s="41" t="str">
        <x:v>Nos</x:v>
      </x:c>
      <x:c r="H188" s="41" t="n">
        <x:v>0</x:v>
      </x:c>
      <x:c r="I188" s="41" t="str">
        <x:v>1,050 kg</x:v>
      </x:c>
      <x:c r="J188" s="41" t="str">
        <x:v>Yes</x:v>
      </x:c>
      <x:c r="K188" s="41" t="str">
        <x:v>Yes</x:v>
      </x:c>
    </x:row>
    <x:row r="189">
      <x:c r="A189" s="41" t="str">
        <x:v>BRN-002-1</x:v>
      </x:c>
      <x:c r="B189" s="41" t="str">
        <x:v>Rubber Dumbbells Set - 2.5–25 kg</x:v>
      </x:c>
      <x:c r="C189" s="41" t="str">
        <x:v>Weights</x:v>
      </x:c>
      <x:c r="D189" s="41" t="str">
        <x:v>Burnsport</x:v>
      </x:c>
      <x:c r="E189" s="41" t="str">
        <x:v>17</x:v>
      </x:c>
      <x:c r="F189" s="42" t="n">
        <x:v>5500</x:v>
      </x:c>
      <x:c r="G189" s="41" t="str">
        <x:v>Nos</x:v>
      </x:c>
      <x:c r="H189" s="41" t="n">
        <x:v>0</x:v>
      </x:c>
      <x:c r="I189" s="41" t="str">
        <x:v>275 kg</x:v>
      </x:c>
      <x:c r="J189" s="41" t="str">
        <x:v>Yes</x:v>
      </x:c>
      <x:c r="K189" s="41" t="str">
        <x:v>Yes</x:v>
      </x:c>
    </x:row>
    <x:row r="190">
      <x:c r="A190" s="41" t="str">
        <x:v>BRN-001-1</x:v>
      </x:c>
      <x:c r="B190" s="41" t="str">
        <x:v>PU Dumbbells Set - 2.5–25 kg</x:v>
      </x:c>
      <x:c r="C190" s="41" t="str">
        <x:v>Weights</x:v>
      </x:c>
      <x:c r="D190" s="41" t="str">
        <x:v>Burnsport</x:v>
      </x:c>
      <x:c r="E190" s="41" t="str">
        <x:v>17</x:v>
      </x:c>
      <x:c r="F190" s="42" t="n">
        <x:v>6000</x:v>
      </x:c>
      <x:c r="G190" s="41" t="str">
        <x:v>Nos</x:v>
      </x:c>
      <x:c r="H190" s="41" t="n">
        <x:v>0</x:v>
      </x:c>
      <x:c r="I190" s="41" t="str">
        <x:v>275 kg</x:v>
      </x:c>
      <x:c r="J190" s="41" t="str">
        <x:v>Yes</x:v>
      </x:c>
      <x:c r="K190" s="41" t="str">
        <x:v>Yes</x:v>
      </x:c>
    </x:row>
    <x:row r="191">
      <x:c r="A191" s="41" t="str">
        <x:v>L119</x:v>
      </x:c>
      <x:c r="B191" s="41" t="str">
        <x:v>3 Tier Dumbbell Rack</x:v>
      </x:c>
      <x:c r="C191" s="41" t="str">
        <x:v>Accessories</x:v>
      </x:c>
      <x:c r="D191" s="41" t="str">
        <x:v>Premier</x:v>
      </x:c>
      <x:c r="E191" s="41" t="str">
        <x:v>17</x:v>
      </x:c>
      <x:c r="F191" s="42" t="n">
        <x:v>1600</x:v>
      </x:c>
      <x:c r="G191" s="41" t="str">
        <x:v>Nos</x:v>
      </x:c>
      <x:c r="H191" s="41" t="n">
        <x:v>0</x:v>
      </x:c>
      <x:c r="I191" s="41" t="str">
        <x:v>17</x:v>
      </x:c>
      <x:c r="J191" s="41" t="str">
        <x:v>Yes</x:v>
      </x:c>
      <x:c r="K191" s="41" t="str">
        <x:v>Yes</x:v>
      </x:c>
    </x:row>
    <x:row r="192">
      <x:c r="A192" s="41" t="str">
        <x:v>7715EA</x:v>
      </x:c>
      <x:c r="B192" s="41" t="str">
        <x:v>Treadmill Home</x:v>
      </x:c>
      <x:c r="C192" s="41" t="str">
        <x:v>Home Use</x:v>
      </x:c>
      <x:c r="D192" s="41" t="str">
        <x:v>Premier</x:v>
      </x:c>
      <x:c r="E192" s="41" t="str">
        <x:v>17</x:v>
      </x:c>
      <x:c r="F192" s="42" t="n">
        <x:v>2300</x:v>
      </x:c>
      <x:c r="G192" s="41" t="str">
        <x:v>Nos</x:v>
      </x:c>
      <x:c r="H192" s="41" t="n">
        <x:v>0</x:v>
      </x:c>
      <x:c r="I192" s="41" t="str">
        <x:v>17</x:v>
      </x:c>
      <x:c r="J192" s="41" t="str">
        <x:v>Yes</x:v>
      </x:c>
      <x:c r="K192" s="41" t="str">
        <x:v>Yes</x:v>
      </x:c>
    </x:row>
    <x:row r="193">
      <x:c r="A193" s="41" t="str">
        <x:v>B32001</x:v>
      </x:c>
      <x:c r="B193" s="41" t="str">
        <x:v>Upright Bike Home</x:v>
      </x:c>
      <x:c r="C193" s="41" t="str">
        <x:v>Home Use</x:v>
      </x:c>
      <x:c r="D193" s="41" t="str">
        <x:v>Premier</x:v>
      </x:c>
      <x:c r="E193" s="41" t="str">
        <x:v>17</x:v>
      </x:c>
      <x:c r="F193" s="42" t="n">
        <x:v>1750</x:v>
      </x:c>
      <x:c r="G193" s="41" t="str">
        <x:v>Nos</x:v>
      </x:c>
      <x:c r="H193" s="41" t="n">
        <x:v>0</x:v>
      </x:c>
      <x:c r="I193" s="41" t="str">
        <x:v>17</x:v>
      </x:c>
      <x:c r="J193" s="41" t="str">
        <x:v>Yes</x:v>
      </x:c>
      <x:c r="K193" s="41" t="str">
        <x:v>Yes</x:v>
      </x:c>
    </x:row>
    <x:row r="194">
      <x:c r="A194" s="41" t="str">
        <x:v>E30901</x:v>
      </x:c>
      <x:c r="B194" s="41" t="str">
        <x:v>Elliptical Bike Home</x:v>
      </x:c>
      <x:c r="C194" s="41" t="str">
        <x:v>Home Use</x:v>
      </x:c>
      <x:c r="D194" s="41" t="str">
        <x:v>Premier</x:v>
      </x:c>
      <x:c r="E194" s="41" t="str">
        <x:v>17</x:v>
      </x:c>
      <x:c r="F194" s="42" t="n">
        <x:v>2200</x:v>
      </x:c>
      <x:c r="G194" s="41" t="str">
        <x:v>Nos</x:v>
      </x:c>
      <x:c r="H194" s="41" t="n">
        <x:v>0</x:v>
      </x:c>
      <x:c r="I194" s="41" t="str">
        <x:v>17</x:v>
      </x:c>
      <x:c r="J194" s="41" t="str">
        <x:v>Yes</x:v>
      </x:c>
      <x:c r="K194" s="41" t="str">
        <x:v>Yes</x:v>
      </x:c>
    </x:row>
    <x:row r="195">
      <x:c r="A195" s="41" t="str">
        <x:v>L108</x:v>
      </x:c>
      <x:c r="B195" s="41" t="str">
        <x:v>Adjustable Bench</x:v>
      </x:c>
      <x:c r="C195" s="41" t="str">
        <x:v>Strength</x:v>
      </x:c>
      <x:c r="D195" s="41" t="str">
        <x:v>Premier</x:v>
      </x:c>
      <x:c r="E195" s="41" t="str">
        <x:v>17</x:v>
      </x:c>
      <x:c r="F195" s="42" t="n">
        <x:v>1400</x:v>
      </x:c>
      <x:c r="G195" s="41" t="str">
        <x:v>Nos</x:v>
      </x:c>
      <x:c r="H195" s="41" t="n">
        <x:v>0</x:v>
      </x:c>
      <x:c r="I195" s="41" t="str">
        <x:v>17</x:v>
      </x:c>
      <x:c r="J195" s="41" t="str">
        <x:v>Yes</x:v>
      </x:c>
      <x:c r="K195" s="41" t="str">
        <x:v>Yes</x:v>
      </x:c>
    </x:row>
    <x:row r="196">
      <x:c r="A196" s="41" t="str">
        <x:v>R30901</x:v>
      </x:c>
      <x:c r="B196" s="41" t="str">
        <x:v>Recumbent Bike Home</x:v>
      </x:c>
      <x:c r="C196" s="41" t="str">
        <x:v>Home Use</x:v>
      </x:c>
      <x:c r="D196" s="41" t="str">
        <x:v>Premier</x:v>
      </x:c>
      <x:c r="E196" s="41" t="str">
        <x:v>17</x:v>
      </x:c>
      <x:c r="F196" s="42" t="n">
        <x:v>2200</x:v>
      </x:c>
      <x:c r="G196" s="41" t="str">
        <x:v>Nos</x:v>
      </x:c>
      <x:c r="H196" s="41" t="n">
        <x:v>0</x:v>
      </x:c>
      <x:c r="I196" s="41" t="str">
        <x:v>17</x:v>
      </x:c>
      <x:c r="J196" s="41" t="str">
        <x:v>Yes</x:v>
      </x:c>
      <x:c r="K196" s="41" t="str">
        <x:v>Yes</x:v>
      </x:c>
    </x:row>
    <x:row r="197">
      <x:c r="A197" s="41" t="str">
        <x:v>L133</x:v>
      </x:c>
      <x:c r="B197" s="41" t="str">
        <x:v>Multi Gym Machine</x:v>
      </x:c>
      <x:c r="C197" s="41" t="str">
        <x:v>Home Use</x:v>
      </x:c>
      <x:c r="D197" s="41" t="str">
        <x:v>Premier</x:v>
      </x:c>
      <x:c r="E197" s="41" t="str">
        <x:v>17</x:v>
      </x:c>
      <x:c r="F197" s="42" t="n">
        <x:v>8500</x:v>
      </x:c>
      <x:c r="G197" s="41" t="str">
        <x:v>Nos</x:v>
      </x:c>
      <x:c r="H197" s="41" t="n">
        <x:v>0</x:v>
      </x:c>
      <x:c r="I197" s="41" t="str">
        <x:v>17</x:v>
      </x:c>
      <x:c r="J197" s="41" t="str">
        <x:v>Yes</x:v>
      </x:c>
      <x:c r="K197" s="41" t="str">
        <x:v>Yes</x:v>
      </x:c>
    </x:row>
    <x:row r="198">
      <x:c r="A198" s="41" t="str">
        <x:v>6835TA-LED</x:v>
      </x:c>
      <x:c r="B198" s="41" t="str">
        <x:v>Treadmill LED Screen</x:v>
      </x:c>
      <x:c r="C198" s="41" t="str">
        <x:v>Cardio</x:v>
      </x:c>
      <x:c r="D198" s="41" t="str">
        <x:v>Premier</x:v>
      </x:c>
      <x:c r="E198" s="41" t="str">
        <x:v>17</x:v>
      </x:c>
      <x:c r="F198" s="42" t="n">
        <x:v>5850</x:v>
      </x:c>
      <x:c r="G198" s="41" t="str">
        <x:v>Nos</x:v>
      </x:c>
      <x:c r="H198" s="41" t="n">
        <x:v>0</x:v>
      </x:c>
      <x:c r="I198" s="41" t="str">
        <x:v>LED,  4 HP (AC) , 155x55cm, 150kgs</x:v>
      </x:c>
      <x:c r="J198" s="41" t="str">
        <x:v>Yes</x:v>
      </x:c>
      <x:c r="K198" s="41" t="str">
        <x:v>Yes</x:v>
      </x:c>
    </x:row>
    <x:row r="199">
      <x:c r="A199" s="41" t="str">
        <x:v>7130EA</x:v>
      </x:c>
      <x:c r="B199" s="41" t="str">
        <x:v>Treadmill Home</x:v>
      </x:c>
      <x:c r="C199" s="41" t="str">
        <x:v>Home Use</x:v>
      </x:c>
      <x:c r="D199" s="41" t="str">
        <x:v>Premier</x:v>
      </x:c>
      <x:c r="E199" s="41" t="str">
        <x:v>17</x:v>
      </x:c>
      <x:c r="F199" s="42" t="n">
        <x:v>3500</x:v>
      </x:c>
      <x:c r="G199" s="41" t="str">
        <x:v>Nos</x:v>
      </x:c>
      <x:c r="H199" s="41" t="n">
        <x:v>0</x:v>
      </x:c>
      <x:c r="I199" s="41" t="str">
        <x:v>17</x:v>
      </x:c>
      <x:c r="J199" s="41" t="str">
        <x:v>Yes</x:v>
      </x:c>
      <x:c r="K199" s="41" t="str">
        <x:v>Yes</x:v>
      </x:c>
    </x:row>
    <x:row r="200">
      <x:c r="A200" s="41" t="str">
        <x:v>7130TA</x:v>
      </x:c>
      <x:c r="B200" s="41" t="str">
        <x:v>Treadmill Home</x:v>
      </x:c>
      <x:c r="C200" s="41" t="str">
        <x:v>Home Use</x:v>
      </x:c>
      <x:c r="D200" s="41" t="str">
        <x:v>Premier</x:v>
      </x:c>
      <x:c r="E200" s="41" t="str">
        <x:v>17</x:v>
      </x:c>
      <x:c r="F200" s="42" t="n">
        <x:v>6200</x:v>
      </x:c>
      <x:c r="G200" s="41" t="str">
        <x:v>Nos</x:v>
      </x:c>
      <x:c r="H200" s="41" t="n">
        <x:v>0</x:v>
      </x:c>
      <x:c r="I200" s="41" t="str">
        <x:v>17</x:v>
      </x:c>
      <x:c r="J200" s="41" t="str">
        <x:v>Yes</x:v>
      </x:c>
      <x:c r="K200" s="41" t="str">
        <x:v>Yes</x:v>
      </x:c>
    </x:row>
    <x:row r="201">
      <x:c r="A201" s="41" t="str">
        <x:v>6835TA</x:v>
      </x:c>
      <x:c r="B201" s="41" t="str">
        <x:v>Treadmill Touch Screen</x:v>
      </x:c>
      <x:c r="C201" s="41" t="str">
        <x:v>Cardio</x:v>
      </x:c>
      <x:c r="D201" s="41" t="str">
        <x:v>Premier</x:v>
      </x:c>
      <x:c r="E201" s="41" t="str">
        <x:v>17</x:v>
      </x:c>
      <x:c r="F201" s="42" t="n">
        <x:v>7850</x:v>
      </x:c>
      <x:c r="G201" s="41" t="str">
        <x:v>Nos</x:v>
      </x:c>
      <x:c r="H201" s="41" t="n">
        <x:v>0</x:v>
      </x:c>
      <x:c r="I201" s="41" t="str">
        <x:v>TFT,  4 HP (AC) , 155x55cm, 150kgs</x:v>
      </x:c>
      <x:c r="J201" s="41" t="str">
        <x:v>Yes</x:v>
      </x:c>
      <x:c r="K201" s="41" t="str">
        <x:v>Yes</x:v>
      </x:c>
    </x:row>
    <x:row r="202">
      <x:c r="A202" s="41" t="str">
        <x:v>E38001</x:v>
      </x:c>
      <x:c r="B202" s="41" t="str">
        <x:v>Elliptical Bike Commercial</x:v>
      </x:c>
      <x:c r="C202" s="41" t="str">
        <x:v>Cardio</x:v>
      </x:c>
      <x:c r="D202" s="41" t="str">
        <x:v>Premier</x:v>
      </x:c>
      <x:c r="E202" s="41" t="str">
        <x:v>17</x:v>
      </x:c>
      <x:c r="F202" s="42" t="n">
        <x:v>7500</x:v>
      </x:c>
      <x:c r="G202" s="41" t="str">
        <x:v>Nos</x:v>
      </x:c>
      <x:c r="H202" s="41" t="n">
        <x:v>0</x:v>
      </x:c>
      <x:c r="I202" s="41" t="str">
        <x:v>17</x:v>
      </x:c>
      <x:c r="J202" s="41" t="str">
        <x:v>Yes</x:v>
      </x:c>
      <x:c r="K202" s="41" t="str">
        <x:v>Yes</x:v>
      </x:c>
    </x:row>
    <x:row r="203">
      <x:c r="A203" s="41" t="str">
        <x:v>R12001</x:v>
      </x:c>
      <x:c r="B203" s="41" t="str">
        <x:v>Recumbent Bike Commercial</x:v>
      </x:c>
      <x:c r="C203" s="41" t="str">
        <x:v>Cardio</x:v>
      </x:c>
      <x:c r="D203" s="41" t="str">
        <x:v>Premier</x:v>
      </x:c>
      <x:c r="E203" s="41" t="str">
        <x:v>17</x:v>
      </x:c>
      <x:c r="F203" s="42" t="n">
        <x:v>5500</x:v>
      </x:c>
      <x:c r="G203" s="41" t="str">
        <x:v>Nos</x:v>
      </x:c>
      <x:c r="H203" s="41" t="n">
        <x:v>0</x:v>
      </x:c>
      <x:c r="I203" s="41" t="str">
        <x:v>17</x:v>
      </x:c>
      <x:c r="J203" s="41" t="str">
        <x:v>Yes</x:v>
      </x:c>
      <x:c r="K203" s="41" t="str">
        <x:v>Yes</x:v>
      </x:c>
    </x:row>
    <x:row r="204">
      <x:c r="A204" s="41" t="str">
        <x:v>6750EA</x:v>
      </x:c>
      <x:c r="B204" s="41" t="str">
        <x:v>Motorized Treadmill</x:v>
      </x:c>
      <x:c r="C204" s="41" t="str">
        <x:v>Cardio</x:v>
      </x:c>
      <x:c r="D204" s="41" t="str">
        <x:v>Premier</x:v>
      </x:c>
      <x:c r="E204" s="41" t="str">
        <x:v>17</x:v>
      </x:c>
      <x:c r="F204" s="42" t="n">
        <x:v>7850</x:v>
      </x:c>
      <x:c r="G204" s="41" t="str">
        <x:v>Nos</x:v>
      </x:c>
      <x:c r="H204" s="41" t="n">
        <x:v>0</x:v>
      </x:c>
      <x:c r="I204" s="41" t="str">
        <x:v>17</x:v>
      </x:c>
      <x:c r="J204" s="41" t="str">
        <x:v>Yes</x:v>
      </x:c>
      <x:c r="K204" s="41" t="str">
        <x:v>Yes</x:v>
      </x:c>
    </x:row>
    <x:row r="205">
      <x:c r="A205" s="41" t="str">
        <x:v>B12101</x:v>
      </x:c>
      <x:c r="B205" s="41" t="str">
        <x:v>Upright Bike Commercial</x:v>
      </x:c>
      <x:c r="C205" s="41" t="str">
        <x:v>Cardio</x:v>
      </x:c>
      <x:c r="D205" s="41" t="str">
        <x:v>Premier</x:v>
      </x:c>
      <x:c r="E205" s="41" t="str">
        <x:v>17</x:v>
      </x:c>
      <x:c r="F205" s="42" t="n">
        <x:v>4750</x:v>
      </x:c>
      <x:c r="G205" s="41" t="str">
        <x:v>Nos</x:v>
      </x:c>
      <x:c r="H205" s="41" t="n">
        <x:v>0</x:v>
      </x:c>
      <x:c r="I205" s="41" t="str">
        <x:v>17</x:v>
      </x:c>
      <x:c r="J205" s="41" t="str">
        <x:v>Yes</x:v>
      </x:c>
      <x:c r="K205" s="41" t="str">
        <x:v>Yes</x:v>
      </x:c>
    </x:row>
    <x:row r="206">
      <x:c r="A206" s="41" t="str">
        <x:v>OK9101</x:v>
      </x:c>
      <x:c r="B206" s="41" t="str">
        <x:v>Adjustable Bench</x:v>
      </x:c>
      <x:c r="C206" s="41" t="str">
        <x:v>Accessories</x:v>
      </x:c>
      <x:c r="D206" s="41" t="str">
        <x:v>Premier</x:v>
      </x:c>
      <x:c r="E206" s="41" t="str">
        <x:v>17</x:v>
      </x:c>
      <x:c r="F206" s="42" t="n">
        <x:v>650</x:v>
      </x:c>
      <x:c r="G206" s="41" t="str">
        <x:v>Nos</x:v>
      </x:c>
      <x:c r="H206" s="41" t="n">
        <x:v>0</x:v>
      </x:c>
      <x:c r="I206" s="41" t="str">
        <x:v>Main Tube Size: 70 × 50 × 2.0 mm</x:v>
      </x:c>
      <x:c r="J206" s="41" t="str">
        <x:v>Yes</x:v>
      </x:c>
      <x:c r="K206" s="41" t="str">
        <x:v>Yes</x:v>
      </x:c>
    </x:row>
    <x:row r="207">
      <x:c r="A207" s="41" t="str">
        <x:v>OK1814A</x:v>
      </x:c>
      <x:c r="B207" s="41" t="str">
        <x:v>Adjustable Boxing Post</x:v>
      </x:c>
      <x:c r="C207" s="41" t="str">
        <x:v>Accessories</x:v>
      </x:c>
      <x:c r="D207" s="41" t="str">
        <x:v>Premier</x:v>
      </x:c>
      <x:c r="E207" s="41" t="str">
        <x:v>17</x:v>
      </x:c>
      <x:c r="F207" s="42" t="n">
        <x:v>250</x:v>
      </x:c>
      <x:c r="G207" s="41" t="str">
        <x:v>Nos</x:v>
      </x:c>
      <x:c r="H207" s="41" t="n">
        <x:v>0</x:v>
      </x:c>
      <x:c r="I207" s="41" t="str">
        <x:v>Dimensions: 175 × 27 × 56 cm</x:v>
      </x:c>
      <x:c r="J207" s="41" t="str">
        <x:v>Yes</x:v>
      </x:c>
      <x:c r="K207" s="41" t="str">
        <x:v>Yes</x:v>
      </x:c>
    </x:row>
    <x:row r="208">
      <x:c r="A208" s="41" t="str">
        <x:v>OK1805</x:v>
      </x:c>
      <x:c r="B208" s="41" t="str">
        <x:v>Hand Target</x:v>
      </x:c>
      <x:c r="C208" s="41" t="str">
        <x:v>Accessories</x:v>
      </x:c>
      <x:c r="D208" s="41" t="str">
        <x:v>Premier</x:v>
      </x:c>
      <x:c r="E208" s="41" t="str">
        <x:v>17</x:v>
      </x:c>
      <x:c r="F208" s="42" t="n">
        <x:v>80</x:v>
      </x:c>
      <x:c r="G208" s="41" t="str">
        <x:v>Nos</x:v>
      </x:c>
      <x:c r="H208" s="41" t="n">
        <x:v>0</x:v>
      </x:c>
      <x:c r="I208" s="41" t="str">
        <x:v>Dimensions: 39 × 27 × 24 cm</x:v>
      </x:c>
      <x:c r="J208" s="41" t="str">
        <x:v>Yes</x:v>
      </x:c>
      <x:c r="K208" s="41" t="str">
        <x:v>Yes</x:v>
      </x:c>
    </x:row>
    <x:row r="209">
      <x:c r="A209" s="41" t="str">
        <x:v>OK1813A</x:v>
      </x:c>
      <x:c r="B209" s="41" t="str">
        <x:v>Man Boxing</x:v>
      </x:c>
      <x:c r="C209" s="41" t="str">
        <x:v>Accessories</x:v>
      </x:c>
      <x:c r="D209" s="41" t="str">
        <x:v>Premier</x:v>
      </x:c>
      <x:c r="E209" s="41" t="str">
        <x:v>17</x:v>
      </x:c>
      <x:c r="F209" s="42" t="n">
        <x:v>200</x:v>
      </x:c>
      <x:c r="G209" s="41" t="str">
        <x:v>Nos</x:v>
      </x:c>
      <x:c r="H209" s="41" t="n">
        <x:v>0</x:v>
      </x:c>
      <x:c r="I209" s="41" t="str">
        <x:v>17</x:v>
      </x:c>
      <x:c r="J209" s="41" t="str">
        <x:v>Yes</x:v>
      </x:c>
      <x:c r="K209" s="41" t="str">
        <x:v>Yes</x:v>
      </x:c>
    </x:row>
    <x:row r="210">
      <x:c r="A210" s="41" t="str">
        <x:v>OK8102</x:v>
      </x:c>
      <x:c r="B210" s="41" t="str">
        <x:v>Agility Ladder</x:v>
      </x:c>
      <x:c r="C210" s="41" t="str">
        <x:v>Accessories</x:v>
      </x:c>
      <x:c r="D210" s="41" t="str">
        <x:v>Premier</x:v>
      </x:c>
      <x:c r="E210" s="41" t="str">
        <x:v>17</x:v>
      </x:c>
      <x:c r="F210" s="42" t="n">
        <x:v>130</x:v>
      </x:c>
      <x:c r="G210" s="41" t="str">
        <x:v>Nos</x:v>
      </x:c>
      <x:c r="H210" s="41" t="n">
        <x:v>0</x:v>
      </x:c>
      <x:c r="I210" s="41" t="str">
        <x:v>Length: 6 m</x:v>
      </x:c>
      <x:c r="J210" s="41" t="str">
        <x:v>Yes</x:v>
      </x:c>
      <x:c r="K210" s="41" t="str">
        <x:v>Yes</x:v>
      </x:c>
    </x:row>
    <x:row r="211">
      <x:c r="A211" s="41" t="str">
        <x:v>OK1801</x:v>
      </x:c>
      <x:c r="B211" s="41" t="str">
        <x:v>Boxing Gloves</x:v>
      </x:c>
      <x:c r="C211" s="41" t="str">
        <x:v>Accessories</x:v>
      </x:c>
      <x:c r="D211" s="41" t="str">
        <x:v>Premier</x:v>
      </x:c>
      <x:c r="E211" s="41" t="str">
        <x:v>17</x:v>
      </x:c>
      <x:c r="F211" s="42" t="n">
        <x:v>85</x:v>
      </x:c>
      <x:c r="G211" s="41" t="str">
        <x:v>Nos</x:v>
      </x:c>
      <x:c r="H211" s="41" t="n">
        <x:v>0</x:v>
      </x:c>
      <x:c r="I211" s="41" t="str">
        <x:v>17</x:v>
      </x:c>
      <x:c r="J211" s="41" t="str">
        <x:v>Yes</x:v>
      </x:c>
      <x:c r="K211" s="41" t="str">
        <x:v>Yes</x:v>
      </x:c>
    </x:row>
    <x:row r="212">
      <x:c r="A212" s="41" t="str">
        <x:v>OK1808</x:v>
      </x:c>
      <x:c r="B212" s="41" t="str">
        <x:v>Foot Target</x:v>
      </x:c>
      <x:c r="C212" s="41" t="str">
        <x:v>Accessories</x:v>
      </x:c>
      <x:c r="D212" s="41" t="str">
        <x:v>Premier</x:v>
      </x:c>
      <x:c r="E212" s="41" t="str">
        <x:v>17</x:v>
      </x:c>
      <x:c r="F212" s="42" t="n">
        <x:v>100</x:v>
      </x:c>
      <x:c r="G212" s="41" t="str">
        <x:v>Nos</x:v>
      </x:c>
      <x:c r="H212" s="41" t="n">
        <x:v>0</x:v>
      </x:c>
      <x:c r="I212" s="41" t="str">
        <x:v>17</x:v>
      </x:c>
      <x:c r="J212" s="41" t="str">
        <x:v>Yes</x:v>
      </x:c>
      <x:c r="K212" s="41" t="str">
        <x:v>Yes</x:v>
      </x:c>
    </x:row>
    <x:row r="213">
      <x:c r="A213" s="41" t="str">
        <x:v>OK1813</x:v>
      </x:c>
      <x:c r="B213" s="41" t="str">
        <x:v>Slam Man Boxing</x:v>
      </x:c>
      <x:c r="C213" s="41" t="str">
        <x:v>Accessories</x:v>
      </x:c>
      <x:c r="D213" s="41" t="str">
        <x:v>Premier</x:v>
      </x:c>
      <x:c r="E213" s="41" t="str">
        <x:v>17</x:v>
      </x:c>
      <x:c r="F213" s="42" t="n">
        <x:v>250</x:v>
      </x:c>
      <x:c r="G213" s="41" t="str">
        <x:v>Nos</x:v>
      </x:c>
      <x:c r="H213" s="41" t="n">
        <x:v>0</x:v>
      </x:c>
      <x:c r="I213" s="41" t="str">
        <x:v>17</x:v>
      </x:c>
      <x:c r="J213" s="41" t="str">
        <x:v>Yes</x:v>
      </x:c>
      <x:c r="K213" s="41" t="str">
        <x:v>Yes</x:v>
      </x:c>
    </x:row>
    <x:row r="214">
      <x:c r="A214" s="41" t="str">
        <x:v>OK1683</x:v>
      </x:c>
      <x:c r="B214" s="41" t="str">
        <x:v>Sporting Gloves</x:v>
      </x:c>
      <x:c r="C214" s="41" t="str">
        <x:v>Accessories</x:v>
      </x:c>
      <x:c r="D214" s="41" t="str">
        <x:v>Premier</x:v>
      </x:c>
      <x:c r="E214" s="41" t="str">
        <x:v>17</x:v>
      </x:c>
      <x:c r="F214" s="42" t="n">
        <x:v>120</x:v>
      </x:c>
      <x:c r="G214" s="41" t="str">
        <x:v>Nos</x:v>
      </x:c>
      <x:c r="H214" s="41" t="n">
        <x:v>0</x:v>
      </x:c>
      <x:c r="I214" s="41" t="str">
        <x:v>Size: Medium</x:v>
      </x:c>
      <x:c r="J214" s="41" t="str">
        <x:v>Yes</x:v>
      </x:c>
      <x:c r="K214" s="41" t="str">
        <x:v>Yes</x:v>
      </x:c>
    </x:row>
    <x:row r="215">
      <x:c r="A215" s="41" t="str">
        <x:v>PM1811</x:v>
      </x:c>
      <x:c r="B215" s="41" t="str">
        <x:v>Boxing Bag</x:v>
      </x:c>
      <x:c r="C215" s="41" t="str">
        <x:v>Accessories</x:v>
      </x:c>
      <x:c r="D215" s="41" t="str">
        <x:v>Premier</x:v>
      </x:c>
      <x:c r="E215" s="41" t="str">
        <x:v>17</x:v>
      </x:c>
      <x:c r="F215" s="42" t="n">
        <x:v>950</x:v>
      </x:c>
      <x:c r="G215" s="41" t="str">
        <x:v>Nos</x:v>
      </x:c>
      <x:c r="H215" s="41" t="n">
        <x:v>0</x:v>
      </x:c>
      <x:c r="I215" s="41" t="str">
        <x:v>Weight: 40 kg; Dimensions: 1200 × 400 mm</x:v>
      </x:c>
      <x:c r="J215" s="41" t="str">
        <x:v>Yes</x:v>
      </x:c>
      <x:c r="K215" s="41" t="str">
        <x:v>Yes</x:v>
      </x:c>
    </x:row>
    <x:row r="216">
      <x:c r="A216" s="41" t="str">
        <x:v>OK1930B-1</x:v>
      </x:c>
      <x:c r="B216" s="41" t="str">
        <x:v>TRX Trainer</x:v>
      </x:c>
      <x:c r="C216" s="41" t="str">
        <x:v>Accessories</x:v>
      </x:c>
      <x:c r="D216" s="41" t="str">
        <x:v>Premier</x:v>
      </x:c>
      <x:c r="E216" s="41" t="str">
        <x:v>17</x:v>
      </x:c>
      <x:c r="F216" s="42" t="n">
        <x:v>100</x:v>
      </x:c>
      <x:c r="G216" s="41" t="str">
        <x:v>Nos</x:v>
      </x:c>
      <x:c r="H216" s="41" t="n">
        <x:v>0</x:v>
      </x:c>
      <x:c r="I216" s="41" t="str">
        <x:v>17</x:v>
      </x:c>
      <x:c r="J216" s="41" t="str">
        <x:v>Yes</x:v>
      </x:c>
      <x:c r="K216" s="41" t="str">
        <x:v>Yes</x:v>
      </x:c>
    </x:row>
    <x:row r="217">
      <x:c r="A217" s="41" t="str">
        <x:v>OK1683-L</x:v>
      </x:c>
      <x:c r="B217" s="41" t="str">
        <x:v>Sporting Gloves</x:v>
      </x:c>
      <x:c r="C217" s="41" t="str">
        <x:v>Accessories</x:v>
      </x:c>
      <x:c r="D217" s="41" t="str">
        <x:v>Premier</x:v>
      </x:c>
      <x:c r="E217" s="41" t="str">
        <x:v>17</x:v>
      </x:c>
      <x:c r="F217" s="42" t="n">
        <x:v>150</x:v>
      </x:c>
      <x:c r="G217" s="41" t="str">
        <x:v>Nos</x:v>
      </x:c>
      <x:c r="H217" s="41" t="n">
        <x:v>0</x:v>
      </x:c>
      <x:c r="I217" s="41" t="str">
        <x:v>Size: Large</x:v>
      </x:c>
      <x:c r="J217" s="41" t="str">
        <x:v>Yes</x:v>
      </x:c>
      <x:c r="K217" s="41" t="str">
        <x:v>Yes</x:v>
      </x:c>
    </x:row>
    <x:row r="218">
      <x:c r="A218" s="41" t="str">
        <x:v>OK0045</x:v>
      </x:c>
      <x:c r="B218" s="41" t="str">
        <x:v>Kettlebell Rack</x:v>
      </x:c>
      <x:c r="C218" s="41" t="str">
        <x:v>Accessories</x:v>
      </x:c>
      <x:c r="D218" s="41" t="str">
        <x:v>Premier</x:v>
      </x:c>
      <x:c r="E218" s="41" t="str">
        <x:v>17</x:v>
      </x:c>
      <x:c r="F218" s="42" t="n">
        <x:v>450</x:v>
      </x:c>
      <x:c r="G218" s="41" t="str">
        <x:v>Nos</x:v>
      </x:c>
      <x:c r="H218" s="41" t="n">
        <x:v>0</x:v>
      </x:c>
      <x:c r="I218" s="41" t="str">
        <x:v>Assembly Size: 137 × 61 × 91 cm; Main Tube: 48 × 80 × 1.8 mm</x:v>
      </x:c>
      <x:c r="J218" s="41" t="str">
        <x:v>Yes</x:v>
      </x:c>
      <x:c r="K218" s="41" t="str">
        <x:v>Yes</x:v>
      </x:c>
    </x:row>
    <x:row r="219">
      <x:c r="A219" s="41" t="str">
        <x:v>OK1821B</x:v>
      </x:c>
      <x:c r="B219" s="41" t="str">
        <x:v>Wall Mounted Bag Hanger</x:v>
      </x:c>
      <x:c r="C219" s="41" t="str">
        <x:v>Accessories</x:v>
      </x:c>
      <x:c r="D219" s="41" t="str">
        <x:v>Premier</x:v>
      </x:c>
      <x:c r="E219" s="41" t="str">
        <x:v>17</x:v>
      </x:c>
      <x:c r="F219" s="42" t="n">
        <x:v>180</x:v>
      </x:c>
      <x:c r="G219" s="41" t="str">
        <x:v>Nos</x:v>
      </x:c>
      <x:c r="H219" s="41" t="n">
        <x:v>0</x:v>
      </x:c>
      <x:c r="I219" s="41" t="str">
        <x:v>17</x:v>
      </x:c>
      <x:c r="J219" s="41" t="str">
        <x:v>Yes</x:v>
      </x:c>
      <x:c r="K219" s="41" t="str">
        <x:v>Yes</x:v>
      </x:c>
    </x:row>
    <x:row r="220">
      <x:c r="A220" s="41" t="str">
        <x:v>PM1035E</x:v>
      </x:c>
      <x:c r="B220" s="41" t="str">
        <x:v>Adjustable Dumbbell</x:v>
      </x:c>
      <x:c r="C220" s="41" t="str">
        <x:v>Accessories</x:v>
      </x:c>
      <x:c r="D220" s="41" t="str">
        <x:v>Premier</x:v>
      </x:c>
      <x:c r="E220" s="41" t="str">
        <x:v>17</x:v>
      </x:c>
      <x:c r="F220" s="42" t="n">
        <x:v>450</x:v>
      </x:c>
      <x:c r="G220" s="41" t="str">
        <x:v>Nos</x:v>
      </x:c>
      <x:c r="H220" s="41" t="n">
        <x:v>0</x:v>
      </x:c>
      <x:c r="I220" s="41" t="str">
        <x:v>Weight: 24 kg</x:v>
      </x:c>
      <x:c r="J220" s="41" t="str">
        <x:v>Yes</x:v>
      </x:c>
      <x:c r="K220" s="41" t="str">
        <x:v>Yes</x:v>
      </x:c>
    </x:row>
    <x:row r="221">
      <x:c r="A221" s="41" t="str">
        <x:v>OK1752</x:v>
      </x:c>
      <x:c r="B221" s="41" t="str">
        <x:v>Leather Weight Lifting Belt</x:v>
      </x:c>
      <x:c r="C221" s="41" t="str">
        <x:v>Accessories</x:v>
      </x:c>
      <x:c r="D221" s="41" t="str">
        <x:v>Premier</x:v>
      </x:c>
      <x:c r="E221" s="41" t="str">
        <x:v>17</x:v>
      </x:c>
      <x:c r="F221" s="42" t="n">
        <x:v>80</x:v>
      </x:c>
      <x:c r="G221" s="41" t="str">
        <x:v>Nos</x:v>
      </x:c>
      <x:c r="H221" s="41" t="n">
        <x:v>0</x:v>
      </x:c>
      <x:c r="I221" s="41" t="str">
        <x:v>Length: 105 cm</x:v>
      </x:c>
      <x:c r="J221" s="41" t="str">
        <x:v>Yes</x:v>
      </x:c>
      <x:c r="K221" s="41" t="str">
        <x:v>Yes</x:v>
      </x:c>
    </x:row>
    <x:row r="222">
      <x:c r="A222" s="41" t="str">
        <x:v>OK0016A</x:v>
      </x:c>
      <x:c r="B222" s="41" t="str">
        <x:v>Dumbbell Rack</x:v>
      </x:c>
      <x:c r="C222" s="41" t="str">
        <x:v>Accessories</x:v>
      </x:c>
      <x:c r="D222" s="41" t="str">
        <x:v>Premier</x:v>
      </x:c>
      <x:c r="E222" s="41" t="str">
        <x:v>17</x:v>
      </x:c>
      <x:c r="F222" s="42" t="n">
        <x:v>500</x:v>
      </x:c>
      <x:c r="G222" s="41" t="str">
        <x:v>Nos</x:v>
      </x:c>
      <x:c r="H222" s="41" t="n">
        <x:v>0</x:v>
      </x:c>
      <x:c r="I222" s="41" t="str">
        <x:v>Capacity: 10 Pairs</x:v>
      </x:c>
      <x:c r="J222" s="41" t="str">
        <x:v>Yes</x:v>
      </x:c>
      <x:c r="K222" s="41" t="str">
        <x:v>Yes</x:v>
      </x:c>
    </x:row>
    <x:row r="223">
      <x:c r="A223" s="41" t="str">
        <x:v>OK8105</x:v>
      </x:c>
      <x:c r="B223" s="41" t="str">
        <x:v>Training Cone</x:v>
      </x:c>
      <x:c r="C223" s="41" t="str">
        <x:v>Accessories</x:v>
      </x:c>
      <x:c r="D223" s="41" t="str">
        <x:v>Premier</x:v>
      </x:c>
      <x:c r="E223" s="41" t="str">
        <x:v>17</x:v>
      </x:c>
      <x:c r="F223" s="42" t="n">
        <x:v>50</x:v>
      </x:c>
      <x:c r="G223" s="41" t="str">
        <x:v>Nos</x:v>
      </x:c>
      <x:c r="H223" s="41" t="n">
        <x:v>0</x:v>
      </x:c>
      <x:c r="I223" s="41" t="str">
        <x:v>Height: 23 cm; Diameter: 17 cm</x:v>
      </x:c>
      <x:c r="J223" s="41" t="str">
        <x:v>Yes</x:v>
      </x:c>
      <x:c r="K223" s="41" t="str">
        <x:v>Yes</x:v>
      </x:c>
    </x:row>
    <x:row r="224">
      <x:c r="A224" s="41" t="str">
        <x:v>OK8101</x:v>
      </x:c>
      <x:c r="B224" s="41" t="str">
        <x:v>Speed Hurdles</x:v>
      </x:c>
      <x:c r="C224" s="41" t="str">
        <x:v>Accessories</x:v>
      </x:c>
      <x:c r="D224" s="41" t="str">
        <x:v>Premier</x:v>
      </x:c>
      <x:c r="E224" s="41" t="str">
        <x:v>17</x:v>
      </x:c>
      <x:c r="F224" s="42" t="n">
        <x:v>40</x:v>
      </x:c>
      <x:c r="G224" s="41" t="str">
        <x:v>Nos</x:v>
      </x:c>
      <x:c r="H224" s="41" t="n">
        <x:v>0</x:v>
      </x:c>
      <x:c r="I224" s="41" t="str">
        <x:v>Height: 9 in</x:v>
      </x:c>
      <x:c r="J224" s="41" t="str">
        <x:v>Yes</x:v>
      </x:c>
      <x:c r="K224" s="41" t="str">
        <x:v>Yes</x:v>
      </x:c>
    </x:row>
    <x:row r="225">
      <x:c r="A225" s="41" t="str">
        <x:v>PM0038</x:v>
      </x:c>
      <x:c r="B225" s="41" t="str">
        <x:v>Machine Accessories Rack</x:v>
      </x:c>
      <x:c r="C225" s="41" t="str">
        <x:v>Accessories</x:v>
      </x:c>
      <x:c r="D225" s="41" t="str">
        <x:v>Premier</x:v>
      </x:c>
      <x:c r="E225" s="41" t="str">
        <x:v>17</x:v>
      </x:c>
      <x:c r="F225" s="42" t="n">
        <x:v>900</x:v>
      </x:c>
      <x:c r="G225" s="41" t="str">
        <x:v>Nos</x:v>
      </x:c>
      <x:c r="H225" s="41" t="n">
        <x:v>0</x:v>
      </x:c>
      <x:c r="I225" s="41" t="str">
        <x:v>17</x:v>
      </x:c>
      <x:c r="J225" s="41" t="str">
        <x:v>Yes</x:v>
      </x:c>
      <x:c r="K225" s="41" t="str">
        <x:v>Yes</x:v>
      </x:c>
    </x:row>
    <x:row r="226">
      <x:c r="A226" s="41" t="str">
        <x:v>PM1925</x:v>
      </x:c>
      <x:c r="B226" s="41" t="str">
        <x:v>Resistance Bands Set</x:v>
      </x:c>
      <x:c r="C226" s="41" t="str">
        <x:v>Accessories</x:v>
      </x:c>
      <x:c r="D226" s="41" t="str">
        <x:v>Premier</x:v>
      </x:c>
      <x:c r="E226" s="41" t="str">
        <x:v>17</x:v>
      </x:c>
      <x:c r="F226" s="42" t="n">
        <x:v>200</x:v>
      </x:c>
      <x:c r="G226" s="41" t="str">
        <x:v>Nos</x:v>
      </x:c>
      <x:c r="H226" s="41" t="n">
        <x:v>0</x:v>
      </x:c>
      <x:c r="I226" s="41" t="str">
        <x:v>5 pcs set</x:v>
      </x:c>
      <x:c r="J226" s="41" t="str">
        <x:v>Yes</x:v>
      </x:c>
      <x:c r="K226" s="41" t="str">
        <x:v>Yes</x:v>
      </x:c>
    </x:row>
    <x:row r="227">
      <x:c r="A227" s="41" t="str">
        <x:v>PM0029B</x:v>
      </x:c>
      <x:c r="B227" s="41" t="str">
        <x:v>Bar Holder</x:v>
      </x:c>
      <x:c r="C227" s="41" t="str">
        <x:v>Accessories</x:v>
      </x:c>
      <x:c r="D227" s="41" t="str">
        <x:v>Premier</x:v>
      </x:c>
      <x:c r="E227" s="41" t="str">
        <x:v>17</x:v>
      </x:c>
      <x:c r="F227" s="42" t="n">
        <x:v>450</x:v>
      </x:c>
      <x:c r="G227" s="41" t="str">
        <x:v>Nos</x:v>
      </x:c>
      <x:c r="H227" s="41" t="n">
        <x:v>0</x:v>
      </x:c>
      <x:c r="I227" s="41" t="str">
        <x:v>Capacity: 10 Bars; Weight: 14 kg</x:v>
      </x:c>
      <x:c r="J227" s="41" t="str">
        <x:v>Yes</x:v>
      </x:c>
      <x:c r="K227" s="41" t="str">
        <x:v>Yes</x:v>
      </x:c>
    </x:row>
    <x:row r="228">
      <x:c r="A228" s="41" t="str">
        <x:v>PM5006</x:v>
      </x:c>
      <x:c r="B228" s="41" t="str">
        <x:v>Triceps Olympic Barbell</x:v>
      </x:c>
      <x:c r="C228" s="41" t="str">
        <x:v>Accessories</x:v>
      </x:c>
      <x:c r="D228" s="41" t="str">
        <x:v>Premier</x:v>
      </x:c>
      <x:c r="E228" s="41" t="str">
        <x:v>17</x:v>
      </x:c>
      <x:c r="F228" s="42" t="n">
        <x:v>50</x:v>
      </x:c>
      <x:c r="G228" s="41" t="str">
        <x:v>Nos</x:v>
      </x:c>
      <x:c r="H228" s="41" t="n">
        <x:v>0</x:v>
      </x:c>
      <x:c r="I228" s="41" t="str">
        <x:v>17</x:v>
      </x:c>
      <x:c r="J228" s="41" t="str">
        <x:v>Yes</x:v>
      </x:c>
      <x:c r="K228" s="41" t="str">
        <x:v>Yes</x:v>
      </x:c>
    </x:row>
    <x:row r="229">
      <x:c r="A229" s="41" t="str">
        <x:v>PM5041</x:v>
      </x:c>
      <x:c r="B229" s="41" t="str">
        <x:v>Barbell Collars</x:v>
      </x:c>
      <x:c r="C229" s="41" t="str">
        <x:v>Accessories</x:v>
      </x:c>
      <x:c r="D229" s="41" t="str">
        <x:v>Premier</x:v>
      </x:c>
      <x:c r="E229" s="41" t="str">
        <x:v>17</x:v>
      </x:c>
      <x:c r="F229" s="42" t="n">
        <x:v>40</x:v>
      </x:c>
      <x:c r="G229" s="41" t="str">
        <x:v>Nos</x:v>
      </x:c>
      <x:c r="H229" s="41" t="n">
        <x:v>0</x:v>
      </x:c>
      <x:c r="I229" s="41" t="str">
        <x:v>17</x:v>
      </x:c>
      <x:c r="J229" s="41" t="str">
        <x:v>Yes</x:v>
      </x:c>
      <x:c r="K229" s="41" t="str">
        <x:v>Yes</x:v>
      </x:c>
    </x:row>
    <x:row r="230">
      <x:c r="A230" s="41" t="str">
        <x:v>PM0049E-2</x:v>
      </x:c>
      <x:c r="B230" s="41" t="str">
        <x:v>3-in-1 Soft Jump Box</x:v>
      </x:c>
      <x:c r="C230" s="41" t="str">
        <x:v>Accessories</x:v>
      </x:c>
      <x:c r="D230" s="41" t="str">
        <x:v>Premier</x:v>
      </x:c>
      <x:c r="E230" s="41" t="str">
        <x:v>17</x:v>
      </x:c>
      <x:c r="F230" s="42" t="n">
        <x:v>500</x:v>
      </x:c>
      <x:c r="G230" s="41" t="str">
        <x:v>Nos</x:v>
      </x:c>
      <x:c r="H230" s="41" t="n">
        <x:v>0</x:v>
      </x:c>
      <x:c r="I230" s="41" t="str">
        <x:v>17</x:v>
      </x:c>
      <x:c r="J230" s="41" t="str">
        <x:v>Yes</x:v>
      </x:c>
      <x:c r="K230" s="41" t="str">
        <x:v>Yes</x:v>
      </x:c>
    </x:row>
    <x:row r="231">
      <x:c r="A231" s="41" t="str">
        <x:v>PM9100F</x:v>
      </x:c>
      <x:c r="B231" s="41" t="str">
        <x:v>Power Sled</x:v>
      </x:c>
      <x:c r="C231" s="41" t="str">
        <x:v>Accessories</x:v>
      </x:c>
      <x:c r="D231" s="41" t="str">
        <x:v>Premier</x:v>
      </x:c>
      <x:c r="E231" s="41" t="str">
        <x:v>17</x:v>
      </x:c>
      <x:c r="F231" s="42" t="n">
        <x:v>2850</x:v>
      </x:c>
      <x:c r="G231" s="41" t="str">
        <x:v>Nos</x:v>
      </x:c>
      <x:c r="H231" s="41" t="n">
        <x:v>0</x:v>
      </x:c>
      <x:c r="I231" s="41" t="str">
        <x:v>17</x:v>
      </x:c>
      <x:c r="J231" s="41" t="str">
        <x:v>Yes</x:v>
      </x:c>
      <x:c r="K231" s="41" t="str">
        <x:v>Yes</x:v>
      </x:c>
    </x:row>
    <x:row r="232">
      <x:c r="A232" s="41" t="str">
        <x:v>PM9100B</x:v>
      </x:c>
      <x:c r="B232" s="41" t="str">
        <x:v>Power Sled</x:v>
      </x:c>
      <x:c r="C232" s="41" t="str">
        <x:v>Accessories</x:v>
      </x:c>
      <x:c r="D232" s="41" t="str">
        <x:v>Premier</x:v>
      </x:c>
      <x:c r="E232" s="41" t="str">
        <x:v>17</x:v>
      </x:c>
      <x:c r="F232" s="42" t="n">
        <x:v>950</x:v>
      </x:c>
      <x:c r="G232" s="41" t="str">
        <x:v>Nos</x:v>
      </x:c>
      <x:c r="H232" s="41" t="n">
        <x:v>0</x:v>
      </x:c>
      <x:c r="I232" s="41" t="str">
        <x:v>17</x:v>
      </x:c>
      <x:c r="J232" s="41" t="str">
        <x:v>Yes</x:v>
      </x:c>
      <x:c r="K232" s="41" t="str">
        <x:v>Yes</x:v>
      </x:c>
    </x:row>
    <x:row r="233">
      <x:c r="A233" s="41" t="str">
        <x:v>PM0049</x:v>
      </x:c>
      <x:c r="B233" s="41" t="str">
        <x:v>Soft Jump Box (Plyo Box) Set</x:v>
      </x:c>
      <x:c r="C233" s="41" t="str">
        <x:v>Accessories</x:v>
      </x:c>
      <x:c r="D233" s="41" t="str">
        <x:v>Premier</x:v>
      </x:c>
      <x:c r="E233" s="41" t="str">
        <x:v>17</x:v>
      </x:c>
      <x:c r="F233" s="42" t="n">
        <x:v>1600</x:v>
      </x:c>
      <x:c r="G233" s="41" t="str">
        <x:v>Nos</x:v>
      </x:c>
      <x:c r="H233" s="41" t="n">
        <x:v>0</x:v>
      </x:c>
      <x:c r="I233" s="41" t="str">
        <x:v>4 pcs set</x:v>
      </x:c>
      <x:c r="J233" s="41" t="str">
        <x:v>Yes</x:v>
      </x:c>
      <x:c r="K233" s="41" t="str">
        <x:v>Yes</x:v>
      </x:c>
    </x:row>
    <x:row r="234">
      <x:c r="A234" s="41" t="str">
        <x:v>PM1116E</x:v>
      </x:c>
      <x:c r="B234" s="41" t="str">
        <x:v>Green Artificial Lawn Mat</x:v>
      </x:c>
      <x:c r="C234" s="41" t="str">
        <x:v>Accessories</x:v>
      </x:c>
      <x:c r="D234" s="41" t="str">
        <x:v>Premier</x:v>
      </x:c>
      <x:c r="E234" s="41" t="str">
        <x:v>17</x:v>
      </x:c>
      <x:c r="F234" s="42" t="n">
        <x:v>3800</x:v>
      </x:c>
      <x:c r="G234" s="41" t="str">
        <x:v>Nos</x:v>
      </x:c>
      <x:c r="H234" s="41" t="n">
        <x:v>0</x:v>
      </x:c>
      <x:c r="I234" s="41" t="str">
        <x:v>Width: 2 m; Length: 10 m; Height: 2 cm</x:v>
      </x:c>
      <x:c r="J234" s="41" t="str">
        <x:v>Yes</x:v>
      </x:c>
      <x:c r="K234" s="41" t="str">
        <x:v>Yes</x:v>
      </x:c>
    </x:row>
    <x:row r="235">
      <x:c r="A235" s="41" t="str">
        <x:v>PM1219A-7</x:v>
      </x:c>
      <x:c r="B235" s="41" t="str">
        <x:v>Medicine Ball</x:v>
      </x:c>
      <x:c r="C235" s="41" t="str">
        <x:v>Accessories</x:v>
      </x:c>
      <x:c r="D235" s="41" t="str">
        <x:v>Premier</x:v>
      </x:c>
      <x:c r="E235" s="41" t="str">
        <x:v>17</x:v>
      </x:c>
      <x:c r="F235" s="42" t="n">
        <x:v>140</x:v>
      </x:c>
      <x:c r="G235" s="41" t="str">
        <x:v>Nos</x:v>
      </x:c>
      <x:c r="H235" s="41" t="n">
        <x:v>0</x:v>
      </x:c>
      <x:c r="I235" s="41" t="str">
        <x:v>7kg</x:v>
      </x:c>
      <x:c r="J235" s="41" t="str">
        <x:v>Yes</x:v>
      </x:c>
      <x:c r="K235" s="41" t="str">
        <x:v>Yes</x:v>
      </x:c>
    </x:row>
    <x:row r="236">
      <x:c r="A236" s="41" t="str">
        <x:v>PM0049B-4</x:v>
      </x:c>
      <x:c r="B236" s="41" t="str">
        <x:v>Wooden Jump Box</x:v>
      </x:c>
      <x:c r="C236" s="41" t="str">
        <x:v>Accessories</x:v>
      </x:c>
      <x:c r="D236" s="41" t="str">
        <x:v>Premier</x:v>
      </x:c>
      <x:c r="E236" s="41" t="str">
        <x:v>17</x:v>
      </x:c>
      <x:c r="F236" s="42" t="n">
        <x:v>350</x:v>
      </x:c>
      <x:c r="G236" s="41" t="str">
        <x:v>Nos</x:v>
      </x:c>
      <x:c r="H236" s="41" t="n">
        <x:v>0</x:v>
      </x:c>
      <x:c r="I236" s="41" t="str">
        <x:v>17</x:v>
      </x:c>
      <x:c r="J236" s="41" t="str">
        <x:v>Yes</x:v>
      </x:c>
      <x:c r="K236" s="41" t="str">
        <x:v>Yes</x:v>
      </x:c>
    </x:row>
    <x:row r="237">
      <x:c r="A237" s="41" t="str">
        <x:v>PM1219A-6</x:v>
      </x:c>
      <x:c r="B237" s="41" t="str">
        <x:v>Medicine Ball</x:v>
      </x:c>
      <x:c r="C237" s="41" t="str">
        <x:v>Accessories</x:v>
      </x:c>
      <x:c r="D237" s="41" t="str">
        <x:v>Premier</x:v>
      </x:c>
      <x:c r="E237" s="41" t="str">
        <x:v>17</x:v>
      </x:c>
      <x:c r="F237" s="42" t="n">
        <x:v>120</x:v>
      </x:c>
      <x:c r="G237" s="41" t="str">
        <x:v>Nos</x:v>
      </x:c>
      <x:c r="H237" s="41" t="n">
        <x:v>0</x:v>
      </x:c>
      <x:c r="I237" s="41" t="str">
        <x:v>6kg</x:v>
      </x:c>
      <x:c r="J237" s="41" t="str">
        <x:v>Yes</x:v>
      </x:c>
      <x:c r="K237" s="41" t="str">
        <x:v>Yes</x:v>
      </x:c>
    </x:row>
    <x:row r="238">
      <x:c r="A238" s="41" t="str">
        <x:v>PM5052C</x:v>
      </x:c>
      <x:c r="B238" s="41" t="str">
        <x:v>Strap Handle</x:v>
      </x:c>
      <x:c r="C238" s="41" t="str">
        <x:v>Accessories</x:v>
      </x:c>
      <x:c r="D238" s="41" t="str">
        <x:v>Premier</x:v>
      </x:c>
      <x:c r="E238" s="41" t="str">
        <x:v>17</x:v>
      </x:c>
      <x:c r="F238" s="42" t="n">
        <x:v>20</x:v>
      </x:c>
      <x:c r="G238" s="41" t="str">
        <x:v>Nos</x:v>
      </x:c>
      <x:c r="H238" s="41" t="n">
        <x:v>0</x:v>
      </x:c>
      <x:c r="I238" s="41" t="str">
        <x:v>17</x:v>
      </x:c>
      <x:c r="J238" s="41" t="str">
        <x:v>Yes</x:v>
      </x:c>
      <x:c r="K238" s="41" t="str">
        <x:v>Yes</x:v>
      </x:c>
    </x:row>
    <x:row r="239">
      <x:c r="A239" s="41" t="str">
        <x:v>PM1219A-9</x:v>
      </x:c>
      <x:c r="B239" s="41" t="str">
        <x:v>Medicine Ball - 9kg</x:v>
      </x:c>
      <x:c r="C239" s="41" t="str">
        <x:v>Accessories</x:v>
      </x:c>
      <x:c r="D239" s="41" t="str">
        <x:v>Premier</x:v>
      </x:c>
      <x:c r="E239" s="41" t="str">
        <x:v>17</x:v>
      </x:c>
      <x:c r="F239" s="42" t="n">
        <x:v>180</x:v>
      </x:c>
      <x:c r="G239" s="41" t="str">
        <x:v>Nos</x:v>
      </x:c>
      <x:c r="H239" s="41" t="n">
        <x:v>0</x:v>
      </x:c>
      <x:c r="I239" s="41" t="str">
        <x:v>9kg</x:v>
      </x:c>
      <x:c r="J239" s="41" t="str">
        <x:v>Yes</x:v>
      </x:c>
      <x:c r="K239" s="41" t="str">
        <x:v>Yes</x:v>
      </x:c>
    </x:row>
    <x:row r="240">
      <x:c r="A240" s="41" t="str">
        <x:v>PM1219A-8</x:v>
      </x:c>
      <x:c r="B240" s="41" t="str">
        <x:v>Medicine Ball - 8kg</x:v>
      </x:c>
      <x:c r="C240" s="41" t="str">
        <x:v>Accessories</x:v>
      </x:c>
      <x:c r="D240" s="41" t="str">
        <x:v>Premier</x:v>
      </x:c>
      <x:c r="E240" s="41" t="str">
        <x:v>17</x:v>
      </x:c>
      <x:c r="F240" s="42" t="n">
        <x:v>160</x:v>
      </x:c>
      <x:c r="G240" s="41" t="str">
        <x:v>Nos</x:v>
      </x:c>
      <x:c r="H240" s="41" t="n">
        <x:v>0</x:v>
      </x:c>
      <x:c r="I240" s="41" t="str">
        <x:v>8kg</x:v>
      </x:c>
      <x:c r="J240" s="41" t="str">
        <x:v>Yes</x:v>
      </x:c>
      <x:c r="K240" s="41" t="str">
        <x:v>Yes</x:v>
      </x:c>
    </x:row>
    <x:row r="241">
      <x:c r="A241" s="41" t="str">
        <x:v>PM1219A-10</x:v>
      </x:c>
      <x:c r="B241" s="41" t="str">
        <x:v>Medicine Ball - 10kg</x:v>
      </x:c>
      <x:c r="C241" s="41" t="str">
        <x:v>Accessories</x:v>
      </x:c>
      <x:c r="D241" s="41" t="str">
        <x:v>Premier</x:v>
      </x:c>
      <x:c r="E241" s="41" t="str">
        <x:v>17</x:v>
      </x:c>
      <x:c r="F241" s="42" t="n">
        <x:v>200</x:v>
      </x:c>
      <x:c r="G241" s="41" t="str">
        <x:v>Nos</x:v>
      </x:c>
      <x:c r="H241" s="41" t="n">
        <x:v>0</x:v>
      </x:c>
      <x:c r="I241" s="41" t="str">
        <x:v>10kg</x:v>
      </x:c>
      <x:c r="J241" s="41" t="str">
        <x:v>Yes</x:v>
      </x:c>
      <x:c r="K241" s="41" t="str">
        <x:v>Yes</x:v>
      </x:c>
    </x:row>
    <x:row r="242">
      <x:c r="A242" s="41" t="str">
        <x:v>PM0023</x:v>
      </x:c>
      <x:c r="B242" s="41" t="str">
        <x:v>Medicine Ball Rack -</x:v>
      </x:c>
      <x:c r="C242" s="41" t="str">
        <x:v>Accessories</x:v>
      </x:c>
      <x:c r="D242" s="41" t="str">
        <x:v>Premier</x:v>
      </x:c>
      <x:c r="E242" s="41" t="str">
        <x:v>17</x:v>
      </x:c>
      <x:c r="F242" s="42" t="n">
        <x:v>450</x:v>
      </x:c>
      <x:c r="G242" s="41" t="str">
        <x:v>Nos</x:v>
      </x:c>
      <x:c r="H242" s="41" t="n">
        <x:v>0</x:v>
      </x:c>
      <x:c r="I242" s="41" t="str">
        <x:v>17</x:v>
      </x:c>
      <x:c r="J242" s="41" t="str">
        <x:v>Yes</x:v>
      </x:c>
      <x:c r="K242" s="41" t="str">
        <x:v>Yes</x:v>
      </x:c>
    </x:row>
    <x:row r="243">
      <x:c r="A243" s="41" t="str">
        <x:v>PM1908</x:v>
      </x:c>
      <x:c r="B243" s="41" t="str">
        <x:v>Aerobic Stepper -</x:v>
      </x:c>
      <x:c r="C243" s="41" t="str">
        <x:v>Accessories</x:v>
      </x:c>
      <x:c r="D243" s="41" t="str">
        <x:v>Premier</x:v>
      </x:c>
      <x:c r="E243" s="41" t="str">
        <x:v>17</x:v>
      </x:c>
      <x:c r="F243" s="42" t="n">
        <x:v>80</x:v>
      </x:c>
      <x:c r="G243" s="41" t="str">
        <x:v>Nos</x:v>
      </x:c>
      <x:c r="H243" s="41" t="n">
        <x:v>0</x:v>
      </x:c>
      <x:c r="I243" s="41" t="str">
        <x:v>17</x:v>
      </x:c>
      <x:c r="J243" s="41" t="str">
        <x:v>Yes</x:v>
      </x:c>
      <x:c r="K243" s="41" t="str">
        <x:v>Yes</x:v>
      </x:c>
    </x:row>
    <x:row r="244">
      <x:c r="A244" s="41" t="str">
        <x:v>PM1219A-4</x:v>
      </x:c>
      <x:c r="B244" s="41" t="str">
        <x:v>Medicine Ball - 4kg</x:v>
      </x:c>
      <x:c r="C244" s="41" t="str">
        <x:v>Accessories</x:v>
      </x:c>
      <x:c r="D244" s="41" t="str">
        <x:v>Premier</x:v>
      </x:c>
      <x:c r="E244" s="41" t="str">
        <x:v>17</x:v>
      </x:c>
      <x:c r="F244" s="42" t="n">
        <x:v>80</x:v>
      </x:c>
      <x:c r="G244" s="41" t="str">
        <x:v>Nos</x:v>
      </x:c>
      <x:c r="H244" s="41" t="n">
        <x:v>0</x:v>
      </x:c>
      <x:c r="I244" s="41" t="str">
        <x:v>4kg</x:v>
      </x:c>
      <x:c r="J244" s="41" t="str">
        <x:v>Yes</x:v>
      </x:c>
      <x:c r="K244" s="41" t="str">
        <x:v>Yes</x:v>
      </x:c>
    </x:row>
    <x:row r="245">
      <x:c r="A245" s="41" t="str">
        <x:v>PM1219A</x:v>
      </x:c>
      <x:c r="B245" s="41" t="str">
        <x:v>Medicine Ball - 3kg</x:v>
      </x:c>
      <x:c r="C245" s="41" t="str">
        <x:v>Accessories</x:v>
      </x:c>
      <x:c r="D245" s="41" t="str">
        <x:v>Premier</x:v>
      </x:c>
      <x:c r="E245" s="41" t="str">
        <x:v>17</x:v>
      </x:c>
      <x:c r="F245" s="42" t="n">
        <x:v>60</x:v>
      </x:c>
      <x:c r="G245" s="41" t="str">
        <x:v>Nos</x:v>
      </x:c>
      <x:c r="H245" s="41" t="n">
        <x:v>0</x:v>
      </x:c>
      <x:c r="I245" s="41" t="str">
        <x:v>3kg</x:v>
      </x:c>
      <x:c r="J245" s="41" t="str">
        <x:v>Yes</x:v>
      </x:c>
      <x:c r="K245" s="41" t="str">
        <x:v>Yes</x:v>
      </x:c>
    </x:row>
    <x:row r="246">
      <x:c r="A246" s="41" t="str">
        <x:v>PM1218B-6</x:v>
      </x:c>
      <x:c r="B246" s="41" t="str">
        <x:v>Medicine Ball with Double Grips - 6kg</x:v>
      </x:c>
      <x:c r="C246" s="41" t="str">
        <x:v>Accessories</x:v>
      </x:c>
      <x:c r="D246" s="41" t="str">
        <x:v>Premier</x:v>
      </x:c>
      <x:c r="E246" s="41" t="str">
        <x:v>17</x:v>
      </x:c>
      <x:c r="F246" s="42" t="n">
        <x:v>120</x:v>
      </x:c>
      <x:c r="G246" s="41" t="str">
        <x:v>Nos</x:v>
      </x:c>
      <x:c r="H246" s="41" t="n">
        <x:v>0</x:v>
      </x:c>
      <x:c r="I246" s="41" t="str">
        <x:v>6kg</x:v>
      </x:c>
      <x:c r="J246" s="41" t="str">
        <x:v>Yes</x:v>
      </x:c>
      <x:c r="K246" s="41" t="str">
        <x:v>Yes</x:v>
      </x:c>
    </x:row>
    <x:row r="247">
      <x:c r="A247" s="41" t="str">
        <x:v>PM1218B-7</x:v>
      </x:c>
      <x:c r="B247" s="41" t="str">
        <x:v>Medicine Ball with Double Grips - 7kg</x:v>
      </x:c>
      <x:c r="C247" s="41" t="str">
        <x:v>Accessories</x:v>
      </x:c>
      <x:c r="D247" s="41" t="str">
        <x:v>Premier</x:v>
      </x:c>
      <x:c r="E247" s="41" t="str">
        <x:v>17</x:v>
      </x:c>
      <x:c r="F247" s="42" t="n">
        <x:v>140</x:v>
      </x:c>
      <x:c r="G247" s="41" t="str">
        <x:v>Nos</x:v>
      </x:c>
      <x:c r="H247" s="41" t="n">
        <x:v>0</x:v>
      </x:c>
      <x:c r="I247" s="41" t="str">
        <x:v>7kg</x:v>
      </x:c>
      <x:c r="J247" s="41" t="str">
        <x:v>Yes</x:v>
      </x:c>
      <x:c r="K247" s="41" t="str">
        <x:v>Yes</x:v>
      </x:c>
    </x:row>
    <x:row r="248">
      <x:c r="A248" s="41" t="str">
        <x:v>PM1218B-10</x:v>
      </x:c>
      <x:c r="B248" s="41" t="str">
        <x:v>Medicine Ball with Double Grips - 10kg</x:v>
      </x:c>
      <x:c r="C248" s="41" t="str">
        <x:v>Accessories</x:v>
      </x:c>
      <x:c r="D248" s="41" t="str">
        <x:v>Premier</x:v>
      </x:c>
      <x:c r="E248" s="41" t="str">
        <x:v>17</x:v>
      </x:c>
      <x:c r="F248" s="42" t="n">
        <x:v>200</x:v>
      </x:c>
      <x:c r="G248" s="41" t="str">
        <x:v>Nos</x:v>
      </x:c>
      <x:c r="H248" s="41" t="n">
        <x:v>0</x:v>
      </x:c>
      <x:c r="I248" s="41" t="str">
        <x:v>10kg</x:v>
      </x:c>
      <x:c r="J248" s="41" t="str">
        <x:v>Yes</x:v>
      </x:c>
      <x:c r="K248" s="41" t="str">
        <x:v>Yes</x:v>
      </x:c>
    </x:row>
    <x:row r="249">
      <x:c r="A249" s="41" t="str">
        <x:v>PM1219A-5</x:v>
      </x:c>
      <x:c r="B249" s="41" t="str">
        <x:v>Medicine Ball - 5kg</x:v>
      </x:c>
      <x:c r="C249" s="41" t="str">
        <x:v>Accessories</x:v>
      </x:c>
      <x:c r="D249" s="41" t="str">
        <x:v>Premier</x:v>
      </x:c>
      <x:c r="E249" s="41" t="str">
        <x:v>17</x:v>
      </x:c>
      <x:c r="F249" s="42" t="n">
        <x:v>100</x:v>
      </x:c>
      <x:c r="G249" s="41" t="str">
        <x:v>Nos</x:v>
      </x:c>
      <x:c r="H249" s="41" t="n">
        <x:v>0</x:v>
      </x:c>
      <x:c r="I249" s="41" t="str">
        <x:v>5kg</x:v>
      </x:c>
      <x:c r="J249" s="41" t="str">
        <x:v>Yes</x:v>
      </x:c>
      <x:c r="K249" s="41" t="str">
        <x:v>Yes</x:v>
      </x:c>
    </x:row>
    <x:row r="250">
      <x:c r="A250" s="41" t="str">
        <x:v>PM1218B-5</x:v>
      </x:c>
      <x:c r="B250" s="41" t="str">
        <x:v>Medicine Ball with Double Grips - 5kg</x:v>
      </x:c>
      <x:c r="C250" s="41" t="str">
        <x:v>Accessories</x:v>
      </x:c>
      <x:c r="D250" s="41" t="str">
        <x:v>Premier</x:v>
      </x:c>
      <x:c r="E250" s="41" t="str">
        <x:v>17</x:v>
      </x:c>
      <x:c r="F250" s="42" t="n">
        <x:v>100</x:v>
      </x:c>
      <x:c r="G250" s="41" t="str">
        <x:v>Nos</x:v>
      </x:c>
      <x:c r="H250" s="41" t="n">
        <x:v>0</x:v>
      </x:c>
      <x:c r="I250" s="41" t="str">
        <x:v>5kg</x:v>
      </x:c>
      <x:c r="J250" s="41" t="str">
        <x:v>Yes</x:v>
      </x:c>
      <x:c r="K250" s="41" t="str">
        <x:v>Yes</x:v>
      </x:c>
    </x:row>
    <x:row r="251">
      <x:c r="A251" s="41" t="str">
        <x:v>PM1218B</x:v>
      </x:c>
      <x:c r="B251" s="41" t="str">
        <x:v>Medicine Ball with Double Grips - 3kg</x:v>
      </x:c>
      <x:c r="C251" s="41" t="str">
        <x:v>Accessories</x:v>
      </x:c>
      <x:c r="D251" s="41" t="str">
        <x:v>Premier</x:v>
      </x:c>
      <x:c r="E251" s="41" t="str">
        <x:v>17</x:v>
      </x:c>
      <x:c r="F251" s="42" t="n">
        <x:v>60</x:v>
      </x:c>
      <x:c r="G251" s="41" t="str">
        <x:v>Nos</x:v>
      </x:c>
      <x:c r="H251" s="41" t="n">
        <x:v>0</x:v>
      </x:c>
      <x:c r="I251" s="41" t="str">
        <x:v>3kg</x:v>
      </x:c>
      <x:c r="J251" s="41" t="str">
        <x:v>Yes</x:v>
      </x:c>
      <x:c r="K251" s="41" t="str">
        <x:v>Yes</x:v>
      </x:c>
    </x:row>
    <x:row r="252">
      <x:c r="A252" s="41" t="str">
        <x:v>PM1218B-4</x:v>
      </x:c>
      <x:c r="B252" s="41" t="str">
        <x:v>Medicine Ball with Double Grips - 4kg</x:v>
      </x:c>
      <x:c r="C252" s="41" t="str">
        <x:v>Accessories</x:v>
      </x:c>
      <x:c r="D252" s="41" t="str">
        <x:v>Premier</x:v>
      </x:c>
      <x:c r="E252" s="41" t="str">
        <x:v>17</x:v>
      </x:c>
      <x:c r="F252" s="42" t="n">
        <x:v>80</x:v>
      </x:c>
      <x:c r="G252" s="41" t="str">
        <x:v>Nos</x:v>
      </x:c>
      <x:c r="H252" s="41" t="n">
        <x:v>0</x:v>
      </x:c>
      <x:c r="I252" s="41" t="str">
        <x:v>4kg</x:v>
      </x:c>
      <x:c r="J252" s="41" t="str">
        <x:v>Yes</x:v>
      </x:c>
      <x:c r="K252" s="41" t="str">
        <x:v>Yes</x:v>
      </x:c>
    </x:row>
    <x:row r="253">
      <x:c r="A253" s="41" t="str">
        <x:v>PM1218B-9</x:v>
      </x:c>
      <x:c r="B253" s="41" t="str">
        <x:v>Medicine Ball with Double Grips - 9kg</x:v>
      </x:c>
      <x:c r="C253" s="41" t="str">
        <x:v>Accessories</x:v>
      </x:c>
      <x:c r="D253" s="41" t="str">
        <x:v>Premier</x:v>
      </x:c>
      <x:c r="E253" s="41" t="str">
        <x:v>17</x:v>
      </x:c>
      <x:c r="F253" s="42" t="n">
        <x:v>180</x:v>
      </x:c>
      <x:c r="G253" s="41" t="str">
        <x:v>Nos</x:v>
      </x:c>
      <x:c r="H253" s="41" t="n">
        <x:v>0</x:v>
      </x:c>
      <x:c r="I253" s="41" t="str">
        <x:v>9kg</x:v>
      </x:c>
      <x:c r="J253" s="41" t="str">
        <x:v>Yes</x:v>
      </x:c>
      <x:c r="K253" s="41" t="str">
        <x:v>Yes</x:v>
      </x:c>
    </x:row>
    <x:row r="254">
      <x:c r="A254" s="41" t="str">
        <x:v>PM1218B-8</x:v>
      </x:c>
      <x:c r="B254" s="41" t="str">
        <x:v>Medicine Ball with Double Grips - 8kg</x:v>
      </x:c>
      <x:c r="C254" s="41" t="str">
        <x:v>Accessories</x:v>
      </x:c>
      <x:c r="D254" s="41" t="str">
        <x:v>Premier</x:v>
      </x:c>
      <x:c r="E254" s="41" t="str">
        <x:v>17</x:v>
      </x:c>
      <x:c r="F254" s="42" t="n">
        <x:v>150</x:v>
      </x:c>
      <x:c r="G254" s="41" t="str">
        <x:v>Nos</x:v>
      </x:c>
      <x:c r="H254" s="41" t="n">
        <x:v>0</x:v>
      </x:c>
      <x:c r="I254" s="41" t="str">
        <x:v>8kg</x:v>
      </x:c>
      <x:c r="J254" s="41" t="str">
        <x:v>Yes</x:v>
      </x:c>
      <x:c r="K254" s="41" t="str">
        <x:v>Yes</x:v>
      </x:c>
    </x:row>
    <x:row r="255">
      <x:c r="A255" s="41" t="str">
        <x:v>PM1221H-10</x:v>
      </x:c>
      <x:c r="B255" s="41" t="str">
        <x:v>Wall Ball - 10kg</x:v>
      </x:c>
      <x:c r="C255" s="41" t="str">
        <x:v>Accessories</x:v>
      </x:c>
      <x:c r="D255" s="41" t="str">
        <x:v>Premier</x:v>
      </x:c>
      <x:c r="E255" s="41" t="str">
        <x:v>17</x:v>
      </x:c>
      <x:c r="F255" s="42" t="n">
        <x:v>240</x:v>
      </x:c>
      <x:c r="G255" s="41" t="str">
        <x:v>Nos</x:v>
      </x:c>
      <x:c r="H255" s="41" t="n">
        <x:v>0</x:v>
      </x:c>
      <x:c r="I255" s="41" t="str">
        <x:v>10kg</x:v>
      </x:c>
      <x:c r="J255" s="41" t="str">
        <x:v>Yes</x:v>
      </x:c>
      <x:c r="K255" s="41" t="str">
        <x:v>Yes</x:v>
      </x:c>
    </x:row>
    <x:row r="256">
      <x:c r="A256" s="41" t="str">
        <x:v>PM0080B</x:v>
      </x:c>
      <x:c r="B256" s="41" t="str">
        <x:v>Storage Rack</x:v>
      </x:c>
      <x:c r="C256" s="41" t="str">
        <x:v>Accessories</x:v>
      </x:c>
      <x:c r="D256" s="41" t="str">
        <x:v>Premier</x:v>
      </x:c>
      <x:c r="E256" s="41" t="str">
        <x:v>17</x:v>
      </x:c>
      <x:c r="F256" s="42" t="n">
        <x:v>900</x:v>
      </x:c>
      <x:c r="G256" s="41" t="str">
        <x:v>Nos</x:v>
      </x:c>
      <x:c r="H256" s="41" t="n">
        <x:v>0</x:v>
      </x:c>
      <x:c r="I256" s="41" t="str">
        <x:v>215 × 45 × 170 cm; Weight: 128 kg</x:v>
      </x:c>
      <x:c r="J256" s="41" t="str">
        <x:v>Yes</x:v>
      </x:c>
      <x:c r="K256" s="41" t="str">
        <x:v>Yes</x:v>
      </x:c>
    </x:row>
    <x:row r="257">
      <x:c r="A257" s="41" t="str">
        <x:v>PM1221H-7</x:v>
      </x:c>
      <x:c r="B257" s="41" t="str">
        <x:v>Wall Ball - 7kg</x:v>
      </x:c>
      <x:c r="C257" s="41" t="str">
        <x:v>Accessories</x:v>
      </x:c>
      <x:c r="D257" s="41" t="str">
        <x:v>Premier</x:v>
      </x:c>
      <x:c r="E257" s="41" t="str">
        <x:v>17</x:v>
      </x:c>
      <x:c r="F257" s="42" t="n">
        <x:v>180</x:v>
      </x:c>
      <x:c r="G257" s="41" t="str">
        <x:v>Nos</x:v>
      </x:c>
      <x:c r="H257" s="41" t="n">
        <x:v>0</x:v>
      </x:c>
      <x:c r="I257" s="41" t="str">
        <x:v>7kg</x:v>
      </x:c>
      <x:c r="J257" s="41" t="str">
        <x:v>Yes</x:v>
      </x:c>
      <x:c r="K257" s="41" t="str">
        <x:v>Yes</x:v>
      </x:c>
    </x:row>
    <x:row r="258">
      <x:c r="A258" s="41" t="str">
        <x:v>PM1221H-4</x:v>
      </x:c>
      <x:c r="B258" s="41" t="str">
        <x:v>Wall Ball - 4kg</x:v>
      </x:c>
      <x:c r="C258" s="41" t="str">
        <x:v>Accessories</x:v>
      </x:c>
      <x:c r="D258" s="41" t="str">
        <x:v>Premier</x:v>
      </x:c>
      <x:c r="E258" s="41" t="str">
        <x:v>17</x:v>
      </x:c>
      <x:c r="F258" s="42" t="n">
        <x:v>120</x:v>
      </x:c>
      <x:c r="G258" s="41" t="str">
        <x:v>Nos</x:v>
      </x:c>
      <x:c r="H258" s="41" t="n">
        <x:v>0</x:v>
      </x:c>
      <x:c r="I258" s="41" t="str">
        <x:v>4kg</x:v>
      </x:c>
      <x:c r="J258" s="41" t="str">
        <x:v>Yes</x:v>
      </x:c>
      <x:c r="K258" s="41" t="str">
        <x:v>Yes</x:v>
      </x:c>
    </x:row>
    <x:row r="259">
      <x:c r="A259" s="41" t="str">
        <x:v>PM1221H-5</x:v>
      </x:c>
      <x:c r="B259" s="41" t="str">
        <x:v>Wall Ball - 5kg</x:v>
      </x:c>
      <x:c r="C259" s="41" t="str">
        <x:v>Accessories</x:v>
      </x:c>
      <x:c r="D259" s="41" t="str">
        <x:v>Premier</x:v>
      </x:c>
      <x:c r="E259" s="41" t="str">
        <x:v>17</x:v>
      </x:c>
      <x:c r="F259" s="42" t="n">
        <x:v>140</x:v>
      </x:c>
      <x:c r="G259" s="41" t="str">
        <x:v>Nos</x:v>
      </x:c>
      <x:c r="H259" s="41" t="n">
        <x:v>0</x:v>
      </x:c>
      <x:c r="I259" s="41" t="str">
        <x:v>5kg</x:v>
      </x:c>
      <x:c r="J259" s="41" t="str">
        <x:v>Yes</x:v>
      </x:c>
      <x:c r="K259" s="41" t="str">
        <x:v>Yes</x:v>
      </x:c>
    </x:row>
    <x:row r="260">
      <x:c r="A260" s="41" t="str">
        <x:v>PM1221H-8</x:v>
      </x:c>
      <x:c r="B260" s="41" t="str">
        <x:v>Wall Ball - 8kg</x:v>
      </x:c>
      <x:c r="C260" s="41" t="str">
        <x:v>Accessories</x:v>
      </x:c>
      <x:c r="D260" s="41" t="str">
        <x:v>Premier</x:v>
      </x:c>
      <x:c r="E260" s="41" t="str">
        <x:v>17</x:v>
      </x:c>
      <x:c r="F260" s="42" t="n">
        <x:v>200</x:v>
      </x:c>
      <x:c r="G260" s="41" t="str">
        <x:v>Nos</x:v>
      </x:c>
      <x:c r="H260" s="41" t="n">
        <x:v>0</x:v>
      </x:c>
      <x:c r="I260" s="41" t="str">
        <x:v>8kg</x:v>
      </x:c>
      <x:c r="J260" s="41" t="str">
        <x:v>Yes</x:v>
      </x:c>
      <x:c r="K260" s="41" t="str">
        <x:v>Yes</x:v>
      </x:c>
    </x:row>
    <x:row r="261">
      <x:c r="A261" s="41" t="str">
        <x:v>PM1223C-15</x:v>
      </x:c>
      <x:c r="B261" s="41" t="str">
        <x:v>Bulgarian / Training Bag - 15 kg</x:v>
      </x:c>
      <x:c r="C261" s="41" t="str">
        <x:v>Accessories</x:v>
      </x:c>
      <x:c r="D261" s="41" t="str">
        <x:v>Premier</x:v>
      </x:c>
      <x:c r="E261" s="41" t="str">
        <x:v>17</x:v>
      </x:c>
      <x:c r="F261" s="42" t="n">
        <x:v>100</x:v>
      </x:c>
      <x:c r="G261" s="41" t="str">
        <x:v>Nos</x:v>
      </x:c>
      <x:c r="H261" s="41" t="n">
        <x:v>0</x:v>
      </x:c>
      <x:c r="I261" s="41" t="str">
        <x:v>15 kg</x:v>
      </x:c>
      <x:c r="J261" s="41" t="str">
        <x:v>Yes</x:v>
      </x:c>
      <x:c r="K261" s="41" t="str">
        <x:v>Yes</x:v>
      </x:c>
    </x:row>
    <x:row r="262">
      <x:c r="A262" s="41" t="str">
        <x:v>PM1221H-6</x:v>
      </x:c>
      <x:c r="B262" s="41" t="str">
        <x:v>Wall Ball - 6kg</x:v>
      </x:c>
      <x:c r="C262" s="41" t="str">
        <x:v>Accessories</x:v>
      </x:c>
      <x:c r="D262" s="41" t="str">
        <x:v>Premier</x:v>
      </x:c>
      <x:c r="E262" s="41" t="str">
        <x:v>17</x:v>
      </x:c>
      <x:c r="F262" s="42" t="n">
        <x:v>160</x:v>
      </x:c>
      <x:c r="G262" s="41" t="str">
        <x:v>Nos</x:v>
      </x:c>
      <x:c r="H262" s="41" t="n">
        <x:v>0</x:v>
      </x:c>
      <x:c r="I262" s="41" t="str">
        <x:v>6kg</x:v>
      </x:c>
      <x:c r="J262" s="41" t="str">
        <x:v>Yes</x:v>
      </x:c>
      <x:c r="K262" s="41" t="str">
        <x:v>Yes</x:v>
      </x:c>
    </x:row>
    <x:row r="263">
      <x:c r="A263" s="41" t="str">
        <x:v>PM1221H-9</x:v>
      </x:c>
      <x:c r="B263" s="41" t="str">
        <x:v>Wall Ball - 9kg</x:v>
      </x:c>
      <x:c r="C263" s="41" t="str">
        <x:v>Accessories</x:v>
      </x:c>
      <x:c r="D263" s="41" t="str">
        <x:v>Premier</x:v>
      </x:c>
      <x:c r="E263" s="41" t="str">
        <x:v>17</x:v>
      </x:c>
      <x:c r="F263" s="42" t="n">
        <x:v>220</x:v>
      </x:c>
      <x:c r="G263" s="41" t="str">
        <x:v>Nos</x:v>
      </x:c>
      <x:c r="H263" s="41" t="n">
        <x:v>0</x:v>
      </x:c>
      <x:c r="I263" s="41" t="str">
        <x:v>9kg</x:v>
      </x:c>
      <x:c r="J263" s="41" t="str">
        <x:v>Yes</x:v>
      </x:c>
      <x:c r="K263" s="41" t="str">
        <x:v>Yes</x:v>
      </x:c>
    </x:row>
    <x:row r="264">
      <x:c r="A264" s="41" t="str">
        <x:v>PM1223C-20</x:v>
      </x:c>
      <x:c r="B264" s="41" t="str">
        <x:v>Bulgarian / Training Bag - 20 kg</x:v>
      </x:c>
      <x:c r="C264" s="41" t="str">
        <x:v>Accessories</x:v>
      </x:c>
      <x:c r="D264" s="41" t="str">
        <x:v>Premier</x:v>
      </x:c>
      <x:c r="E264" s="41" t="str">
        <x:v>17</x:v>
      </x:c>
      <x:c r="F264" s="42" t="n">
        <x:v>100</x:v>
      </x:c>
      <x:c r="G264" s="41" t="str">
        <x:v>Nos</x:v>
      </x:c>
      <x:c r="H264" s="41" t="n">
        <x:v>0</x:v>
      </x:c>
      <x:c r="I264" s="41" t="str">
        <x:v>20 kg</x:v>
      </x:c>
      <x:c r="J264" s="41" t="str">
        <x:v>Yes</x:v>
      </x:c>
      <x:c r="K264" s="41" t="str">
        <x:v>Yes</x:v>
      </x:c>
    </x:row>
    <x:row r="265">
      <x:c r="A265" s="41" t="str">
        <x:v>PM0026</x:v>
      </x:c>
      <x:c r="B265" s="41" t="str">
        <x:v>Power / Sand Bag Rack - 5 Tiers</x:v>
      </x:c>
      <x:c r="C265" s="41" t="str">
        <x:v>Accessories</x:v>
      </x:c>
      <x:c r="D265" s="41" t="str">
        <x:v>Premier</x:v>
      </x:c>
      <x:c r="E265" s="41" t="str">
        <x:v>17</x:v>
      </x:c>
      <x:c r="F265" s="42" t="n">
        <x:v>650</x:v>
      </x:c>
      <x:c r="G265" s="41" t="str">
        <x:v>Nos</x:v>
      </x:c>
      <x:c r="H265" s="41" t="n">
        <x:v>0</x:v>
      </x:c>
      <x:c r="I265" s="41" t="str">
        <x:v>5 Tiers</x:v>
      </x:c>
      <x:c r="J265" s="41" t="str">
        <x:v>Yes</x:v>
      </x:c>
      <x:c r="K265" s="41" t="str">
        <x:v>Yes</x:v>
      </x:c>
    </x:row>
    <x:row r="266">
      <x:c r="A266" s="41" t="str">
        <x:v>PM1221H</x:v>
      </x:c>
      <x:c r="B266" s="41" t="str">
        <x:v>Wall Ball - 3kg</x:v>
      </x:c>
      <x:c r="C266" s="41" t="str">
        <x:v>Accessories</x:v>
      </x:c>
      <x:c r="D266" s="41" t="str">
        <x:v>Premier</x:v>
      </x:c>
      <x:c r="E266" s="41" t="str">
        <x:v>17</x:v>
      </x:c>
      <x:c r="F266" s="42" t="n">
        <x:v>80</x:v>
      </x:c>
      <x:c r="G266" s="41" t="str">
        <x:v>Nos</x:v>
      </x:c>
      <x:c r="H266" s="41" t="n">
        <x:v>0</x:v>
      </x:c>
      <x:c r="I266" s="41" t="str">
        <x:v>3kg</x:v>
      </x:c>
      <x:c r="J266" s="41" t="str">
        <x:v>Yes</x:v>
      </x:c>
      <x:c r="K266" s="41" t="str">
        <x:v>Yes</x:v>
      </x:c>
    </x:row>
    <x:row r="267">
      <x:c r="A267" s="41" t="str">
        <x:v>PM1222C-15</x:v>
      </x:c>
      <x:c r="B267" s="41" t="str">
        <x:v>Power / Sand Bag - 15 kg</x:v>
      </x:c>
      <x:c r="C267" s="41" t="str">
        <x:v>Accessories</x:v>
      </x:c>
      <x:c r="D267" s="41" t="str">
        <x:v>Premier</x:v>
      </x:c>
      <x:c r="E267" s="41" t="str">
        <x:v>17</x:v>
      </x:c>
      <x:c r="F267" s="42" t="n">
        <x:v>100</x:v>
      </x:c>
      <x:c r="G267" s="41" t="str">
        <x:v>Nos</x:v>
      </x:c>
      <x:c r="H267" s="41" t="n">
        <x:v>0</x:v>
      </x:c>
      <x:c r="I267" s="41" t="str">
        <x:v>15 kg</x:v>
      </x:c>
      <x:c r="J267" s="41" t="str">
        <x:v>Yes</x:v>
      </x:c>
      <x:c r="K267" s="41" t="str">
        <x:v>Yes</x:v>
      </x:c>
    </x:row>
    <x:row r="268">
      <x:c r="A268" s="41" t="str">
        <x:v>PM1223C</x:v>
      </x:c>
      <x:c r="B268" s="41" t="str">
        <x:v>Bulgarian / Training Bag - 5 kg</x:v>
      </x:c>
      <x:c r="C268" s="41" t="str">
        <x:v>Accessories</x:v>
      </x:c>
      <x:c r="D268" s="41" t="str">
        <x:v>Premier</x:v>
      </x:c>
      <x:c r="E268" s="41" t="str">
        <x:v>17</x:v>
      </x:c>
      <x:c r="F268" s="42" t="n">
        <x:v>100</x:v>
      </x:c>
      <x:c r="G268" s="41" t="str">
        <x:v>Nos</x:v>
      </x:c>
      <x:c r="H268" s="41" t="n">
        <x:v>0</x:v>
      </x:c>
      <x:c r="I268" s="41" t="str">
        <x:v>5 kg</x:v>
      </x:c>
      <x:c r="J268" s="41" t="str">
        <x:v>Yes</x:v>
      </x:c>
      <x:c r="K268" s="41" t="str">
        <x:v>Yes</x:v>
      </x:c>
    </x:row>
    <x:row r="269">
      <x:c r="A269" s="41" t="str">
        <x:v>PM1222C-20</x:v>
      </x:c>
      <x:c r="B269" s="41" t="str">
        <x:v>Power / Sand Bag - 20 kg</x:v>
      </x:c>
      <x:c r="C269" s="41" t="str">
        <x:v>Accessories</x:v>
      </x:c>
      <x:c r="D269" s="41" t="str">
        <x:v>Premier</x:v>
      </x:c>
      <x:c r="E269" s="41" t="str">
        <x:v>17</x:v>
      </x:c>
      <x:c r="F269" s="42" t="n">
        <x:v>100</x:v>
      </x:c>
      <x:c r="G269" s="41" t="str">
        <x:v>Nos</x:v>
      </x:c>
      <x:c r="H269" s="41" t="n">
        <x:v>0</x:v>
      </x:c>
      <x:c r="I269" s="41" t="str">
        <x:v>20 kg</x:v>
      </x:c>
      <x:c r="J269" s="41" t="str">
        <x:v>Yes</x:v>
      </x:c>
      <x:c r="K269" s="41" t="str">
        <x:v>Yes</x:v>
      </x:c>
    </x:row>
    <x:row r="270">
      <x:c r="A270" s="41" t="str">
        <x:v>PM1223C-10</x:v>
      </x:c>
      <x:c r="B270" s="41" t="str">
        <x:v>Bulgarian / Training Bag - 10 kg</x:v>
      </x:c>
      <x:c r="C270" s="41" t="str">
        <x:v>Accessories</x:v>
      </x:c>
      <x:c r="D270" s="41" t="str">
        <x:v>Premier</x:v>
      </x:c>
      <x:c r="E270" s="41" t="str">
        <x:v>17</x:v>
      </x:c>
      <x:c r="F270" s="42" t="n">
        <x:v>100</x:v>
      </x:c>
      <x:c r="G270" s="41" t="str">
        <x:v>Nos</x:v>
      </x:c>
      <x:c r="H270" s="41" t="n">
        <x:v>0</x:v>
      </x:c>
      <x:c r="I270" s="41" t="str">
        <x:v>10 kg</x:v>
      </x:c>
      <x:c r="J270" s="41" t="str">
        <x:v>Yes</x:v>
      </x:c>
      <x:c r="K270" s="41" t="str">
        <x:v>Yes</x:v>
      </x:c>
    </x:row>
    <x:row r="271">
      <x:c r="A271" s="41" t="str">
        <x:v>PM1222C</x:v>
      </x:c>
      <x:c r="B271" s="41" t="str">
        <x:v>Power / Sand Bag - 5 kg</x:v>
      </x:c>
      <x:c r="C271" s="41" t="str">
        <x:v>Accessories</x:v>
      </x:c>
      <x:c r="D271" s="41" t="str">
        <x:v>Premier</x:v>
      </x:c>
      <x:c r="E271" s="41" t="str">
        <x:v>17</x:v>
      </x:c>
      <x:c r="F271" s="42" t="n">
        <x:v>100</x:v>
      </x:c>
      <x:c r="G271" s="41" t="str">
        <x:v>Nos</x:v>
      </x:c>
      <x:c r="H271" s="41" t="n">
        <x:v>0</x:v>
      </x:c>
      <x:c r="I271" s="41" t="str">
        <x:v>5 kg</x:v>
      </x:c>
      <x:c r="J271" s="41" t="str">
        <x:v>Yes</x:v>
      </x:c>
      <x:c r="K271" s="41" t="str">
        <x:v>Yes</x:v>
      </x:c>
    </x:row>
    <x:row r="272">
      <x:c r="A272" s="41" t="str">
        <x:v>PM1204</x:v>
      </x:c>
      <x:c r="B272" s="41" t="str">
        <x:v>Anti-Burst Gym Ball</x:v>
      </x:c>
      <x:c r="C272" s="41" t="str">
        <x:v>Accessories</x:v>
      </x:c>
      <x:c r="D272" s="41" t="str">
        <x:v>Premier</x:v>
      </x:c>
      <x:c r="E272" s="41" t="str">
        <x:v>17</x:v>
      </x:c>
      <x:c r="F272" s="42" t="n">
        <x:v>30</x:v>
      </x:c>
      <x:c r="G272" s="41" t="str">
        <x:v>Nos</x:v>
      </x:c>
      <x:c r="H272" s="41" t="n">
        <x:v>0</x:v>
      </x:c>
      <x:c r="I272" s="41" t="str">
        <x:v>Diameter: 65 cm</x:v>
      </x:c>
      <x:c r="J272" s="41" t="str">
        <x:v>Yes</x:v>
      </x:c>
      <x:c r="K272" s="41" t="str">
        <x:v>Yes</x:v>
      </x:c>
    </x:row>
    <x:row r="273">
      <x:c r="A273" s="41" t="str">
        <x:v>PM1384</x:v>
      </x:c>
      <x:c r="B273" s="41" t="str">
        <x:v>PVC Jump Rope</x:v>
      </x:c>
      <x:c r="C273" s="41" t="str">
        <x:v>Accessories</x:v>
      </x:c>
      <x:c r="D273" s="41" t="str">
        <x:v>Premier</x:v>
      </x:c>
      <x:c r="E273" s="41" t="str">
        <x:v>17</x:v>
      </x:c>
      <x:c r="F273" s="42" t="n">
        <x:v>35</x:v>
      </x:c>
      <x:c r="G273" s="41" t="str">
        <x:v>Nos</x:v>
      </x:c>
      <x:c r="H273" s="41" t="n">
        <x:v>0</x:v>
      </x:c>
      <x:c r="I273" s="41" t="str">
        <x:v>17</x:v>
      </x:c>
      <x:c r="J273" s="41" t="str">
        <x:v>Yes</x:v>
      </x:c>
      <x:c r="K273" s="41" t="str">
        <x:v>Yes</x:v>
      </x:c>
    </x:row>
    <x:row r="274">
      <x:c r="A274" s="41" t="str">
        <x:v>PM1201</x:v>
      </x:c>
      <x:c r="B274" s="41" t="str">
        <x:v>Balance Ball</x:v>
      </x:c>
      <x:c r="C274" s="41" t="str">
        <x:v>Accessories</x:v>
      </x:c>
      <x:c r="D274" s="41" t="str">
        <x:v>Premier</x:v>
      </x:c>
      <x:c r="E274" s="41" t="str">
        <x:v>17</x:v>
      </x:c>
      <x:c r="F274" s="42" t="n">
        <x:v>350</x:v>
      </x:c>
      <x:c r="G274" s="41" t="str">
        <x:v>Nos</x:v>
      </x:c>
      <x:c r="H274" s="41" t="n">
        <x:v>0</x:v>
      </x:c>
      <x:c r="I274" s="41" t="str">
        <x:v>With Plastic Base</x:v>
      </x:c>
      <x:c r="J274" s="41" t="str">
        <x:v>Yes</x:v>
      </x:c>
      <x:c r="K274" s="41" t="str">
        <x:v>Yes</x:v>
      </x:c>
    </x:row>
    <x:row r="275">
      <x:c r="A275" s="41" t="str">
        <x:v>PM1222C-10</x:v>
      </x:c>
      <x:c r="B275" s="41" t="str">
        <x:v>Power / Sand Bag - 10 kg</x:v>
      </x:c>
      <x:c r="C275" s="41" t="str">
        <x:v>Accessories</x:v>
      </x:c>
      <x:c r="D275" s="41" t="str">
        <x:v>Premier</x:v>
      </x:c>
      <x:c r="E275" s="41" t="str">
        <x:v>17</x:v>
      </x:c>
      <x:c r="F275" s="42" t="n">
        <x:v>100</x:v>
      </x:c>
      <x:c r="G275" s="41" t="str">
        <x:v>Nos</x:v>
      </x:c>
      <x:c r="H275" s="41" t="n">
        <x:v>0</x:v>
      </x:c>
      <x:c r="I275" s="41" t="str">
        <x:v>10 kg</x:v>
      </x:c>
      <x:c r="J275" s="41" t="str">
        <x:v>Yes</x:v>
      </x:c>
      <x:c r="K275" s="41" t="str">
        <x:v>Yes</x:v>
      </x:c>
    </x:row>
    <x:row r="276">
      <x:c r="A276" s="41" t="str">
        <x:v>PM1102</x:v>
      </x:c>
      <x:c r="B276" s="41" t="str">
        <x:v>TPE Yoga Mat</x:v>
      </x:c>
      <x:c r="C276" s="41" t="str">
        <x:v>Accessories</x:v>
      </x:c>
      <x:c r="D276" s="41" t="str">
        <x:v>Premier</x:v>
      </x:c>
      <x:c r="E276" s="41" t="str">
        <x:v>17</x:v>
      </x:c>
      <x:c r="F276" s="42" t="n">
        <x:v>90</x:v>
      </x:c>
      <x:c r="G276" s="41" t="str">
        <x:v>Nos</x:v>
      </x:c>
      <x:c r="H276" s="41" t="n">
        <x:v>0</x:v>
      </x:c>
      <x:c r="I276" s="41" t="str">
        <x:v>Thickness: 6 mm</x:v>
      </x:c>
      <x:c r="J276" s="41" t="str">
        <x:v>Yes</x:v>
      </x:c>
      <x:c r="K276" s="41" t="str">
        <x:v>Yes</x:v>
      </x:c>
    </x:row>
    <x:row r="277">
      <x:c r="A277" s="41" t="str">
        <x:v>PM6030</x:v>
      </x:c>
      <x:c r="B277" s="41" t="str">
        <x:v>Deluxe Straight Pro-Style Lat Bar</x:v>
      </x:c>
      <x:c r="C277" s="41" t="str">
        <x:v>Accessories</x:v>
      </x:c>
      <x:c r="D277" s="41" t="str">
        <x:v>Premier</x:v>
      </x:c>
      <x:c r="E277" s="41" t="str">
        <x:v>17</x:v>
      </x:c>
      <x:c r="F277" s="42" t="n">
        <x:v>130</x:v>
      </x:c>
      <x:c r="G277" s="41" t="str">
        <x:v>Nos</x:v>
      </x:c>
      <x:c r="H277" s="41" t="n">
        <x:v>0</x:v>
      </x:c>
      <x:c r="I277" s="41" t="str">
        <x:v>17</x:v>
      </x:c>
      <x:c r="J277" s="41" t="str">
        <x:v>Yes</x:v>
      </x:c>
      <x:c r="K277" s="41" t="str">
        <x:v>Yes</x:v>
      </x:c>
    </x:row>
    <x:row r="278">
      <x:c r="A278" s="41" t="str">
        <x:v>PM1103A</x:v>
      </x:c>
      <x:c r="B278" s="41" t="str">
        <x:v>Exercise Mat</x:v>
      </x:c>
      <x:c r="C278" s="41" t="str">
        <x:v>Accessories</x:v>
      </x:c>
      <x:c r="D278" s="41" t="str">
        <x:v>Premier</x:v>
      </x:c>
      <x:c r="E278" s="41" t="str">
        <x:v>17</x:v>
      </x:c>
      <x:c r="F278" s="42" t="n">
        <x:v>110</x:v>
      </x:c>
      <x:c r="G278" s="41" t="str">
        <x:v>Nos</x:v>
      </x:c>
      <x:c r="H278" s="41" t="n">
        <x:v>0</x:v>
      </x:c>
      <x:c r="I278" s="41" t="str">
        <x:v>Yoga Mat with Grommets</x:v>
      </x:c>
      <x:c r="J278" s="41" t="str">
        <x:v>Yes</x:v>
      </x:c>
      <x:c r="K278" s="41" t="str">
        <x:v>Yes</x:v>
      </x:c>
    </x:row>
    <x:row r="279">
      <x:c r="A279" s="41" t="str">
        <x:v>PM6021</x:v>
      </x:c>
      <x:c r="B279" s="41" t="str">
        <x:v>Lat Bar</x:v>
      </x:c>
      <x:c r="C279" s="41" t="str">
        <x:v>Accessories</x:v>
      </x:c>
      <x:c r="D279" s="41" t="str">
        <x:v>Premier</x:v>
      </x:c>
      <x:c r="E279" s="41" t="str">
        <x:v>17</x:v>
      </x:c>
      <x:c r="F279" s="42" t="n">
        <x:v>120</x:v>
      </x:c>
      <x:c r="G279" s="41" t="str">
        <x:v>Nos</x:v>
      </x:c>
      <x:c r="H279" s="41" t="n">
        <x:v>0</x:v>
      </x:c>
      <x:c r="I279" s="41" t="str">
        <x:v>17</x:v>
      </x:c>
      <x:c r="J279" s="41" t="str">
        <x:v>Yes</x:v>
      </x:c>
      <x:c r="K279" s="41" t="str">
        <x:v>Yes</x:v>
      </x:c>
    </x:row>
    <x:row r="280">
      <x:c r="A280" s="41" t="str">
        <x:v>PM6016</x:v>
      </x:c>
      <x:c r="B280" s="41" t="str">
        <x:v>Deluxe Straight Bar</x:v>
      </x:c>
      <x:c r="C280" s="41" t="str">
        <x:v>Accessories</x:v>
      </x:c>
      <x:c r="D280" s="41" t="str">
        <x:v>Premier</x:v>
      </x:c>
      <x:c r="E280" s="41" t="str">
        <x:v>17</x:v>
      </x:c>
      <x:c r="F280" s="42" t="n">
        <x:v>95</x:v>
      </x:c>
      <x:c r="G280" s="41" t="str">
        <x:v>Nos</x:v>
      </x:c>
      <x:c r="H280" s="41" t="n">
        <x:v>0</x:v>
      </x:c>
      <x:c r="I280" s="41" t="str">
        <x:v>17</x:v>
      </x:c>
      <x:c r="J280" s="41" t="str">
        <x:v>Yes</x:v>
      </x:c>
      <x:c r="K280" s="41" t="str">
        <x:v>Yes</x:v>
      </x:c>
    </x:row>
    <x:row r="281">
      <x:c r="A281" s="41" t="str">
        <x:v>PM0005</x:v>
      </x:c>
      <x:c r="B281" s="41" t="str">
        <x:v>Vinyl Dumbbell Rack</x:v>
      </x:c>
      <x:c r="C281" s="41" t="str">
        <x:v>Accessories</x:v>
      </x:c>
      <x:c r="D281" s="41" t="str">
        <x:v>Premier</x:v>
      </x:c>
      <x:c r="E281" s="41" t="str">
        <x:v>17</x:v>
      </x:c>
      <x:c r="F281" s="42" t="n">
        <x:v>400</x:v>
      </x:c>
      <x:c r="G281" s="41" t="str">
        <x:v>Nos</x:v>
      </x:c>
      <x:c r="H281" s="41" t="n">
        <x:v>0</x:v>
      </x:c>
      <x:c r="I281" s="41" t="str">
        <x:v>Capacity: 10 Pairs</x:v>
      </x:c>
      <x:c r="J281" s="41" t="str">
        <x:v>Yes</x:v>
      </x:c>
      <x:c r="K281" s="41" t="str">
        <x:v>Yes</x:v>
      </x:c>
    </x:row>
    <x:row r="282">
      <x:c r="A282" s="41" t="str">
        <x:v>PM6003-2</x:v>
      </x:c>
      <x:c r="B282" s="41" t="str">
        <x:v>D Handle</x:v>
      </x:c>
      <x:c r="C282" s="41" t="str">
        <x:v>Accessories</x:v>
      </x:c>
      <x:c r="D282" s="41" t="str">
        <x:v>Premier</x:v>
      </x:c>
      <x:c r="E282" s="41" t="str">
        <x:v>17</x:v>
      </x:c>
      <x:c r="F282" s="42" t="n">
        <x:v>80</x:v>
      </x:c>
      <x:c r="G282" s="41" t="str">
        <x:v>Nos</x:v>
      </x:c>
      <x:c r="H282" s="41" t="n">
        <x:v>0</x:v>
      </x:c>
      <x:c r="I282" s="41" t="str">
        <x:v>17</x:v>
      </x:c>
      <x:c r="J282" s="41" t="str">
        <x:v>Yes</x:v>
      </x:c>
      <x:c r="K282" s="41" t="str">
        <x:v>Yes</x:v>
      </x:c>
    </x:row>
    <x:row r="283">
      <x:c r="A283" s="41" t="str">
        <x:v>PM6017</x:v>
      </x:c>
      <x:c r="B283" s="41" t="str">
        <x:v>Deluxe Tricep V-Bar</x:v>
      </x:c>
      <x:c r="C283" s="41" t="str">
        <x:v>Accessories</x:v>
      </x:c>
      <x:c r="D283" s="41" t="str">
        <x:v>Premier</x:v>
      </x:c>
      <x:c r="E283" s="41" t="str">
        <x:v>17</x:v>
      </x:c>
      <x:c r="F283" s="42" t="n">
        <x:v>80</x:v>
      </x:c>
      <x:c r="G283" s="41" t="str">
        <x:v>Nos</x:v>
      </x:c>
      <x:c r="H283" s="41" t="n">
        <x:v>0</x:v>
      </x:c>
      <x:c r="I283" s="41" t="str">
        <x:v>17</x:v>
      </x:c>
      <x:c r="J283" s="41" t="str">
        <x:v>Yes</x:v>
      </x:c>
      <x:c r="K283" s="41" t="str">
        <x:v>Yes</x:v>
      </x:c>
    </x:row>
    <x:row r="284">
      <x:c r="A284" s="41" t="str">
        <x:v>PM1101</x:v>
      </x:c>
      <x:c r="B284" s="41" t="str">
        <x:v>NBR Yoga Mat</x:v>
      </x:c>
      <x:c r="C284" s="41" t="str">
        <x:v>Accessories</x:v>
      </x:c>
      <x:c r="D284" s="41" t="str">
        <x:v>Premier</x:v>
      </x:c>
      <x:c r="E284" s="41" t="str">
        <x:v>17</x:v>
      </x:c>
      <x:c r="F284" s="42" t="n">
        <x:v>75</x:v>
      </x:c>
      <x:c r="G284" s="41" t="str">
        <x:v>Nos</x:v>
      </x:c>
      <x:c r="H284" s="41" t="n">
        <x:v>0</x:v>
      </x:c>
      <x:c r="I284" s="41" t="str">
        <x:v>Thickness: 2 cm</x:v>
      </x:c>
      <x:c r="J284" s="41" t="str">
        <x:v>Yes</x:v>
      </x:c>
      <x:c r="K284" s="41" t="str">
        <x:v>Yes</x:v>
      </x:c>
    </x:row>
    <x:row r="285">
      <x:c r="A285" s="41" t="str">
        <x:v>PMMB001-005</x:v>
      </x:c>
      <x:c r="B285" s="41" t="str">
        <x:v>Pulldown Machine Accessories Set</x:v>
      </x:c>
      <x:c r="C285" s="41" t="str">
        <x:v>Accessories</x:v>
      </x:c>
      <x:c r="D285" s="41" t="str">
        <x:v>Premier</x:v>
      </x:c>
      <x:c r="E285" s="41" t="str">
        <x:v>17</x:v>
      </x:c>
      <x:c r="F285" s="42" t="n">
        <x:v>550</x:v>
      </x:c>
      <x:c r="G285" s="41" t="str">
        <x:v>Nos</x:v>
      </x:c>
      <x:c r="H285" s="41" t="n">
        <x:v>0</x:v>
      </x:c>
      <x:c r="I285" s="41" t="str">
        <x:v>5 pcs set</x:v>
      </x:c>
      <x:c r="J285" s="41" t="str">
        <x:v>Yes</x:v>
      </x:c>
      <x:c r="K285" s="41" t="str">
        <x:v>Yes</x:v>
      </x:c>
    </x:row>
    <x:row r="286">
      <x:c r="A286" s="41" t="str">
        <x:v>PM6022</x:v>
      </x:c>
      <x:c r="B286" s="41" t="str">
        <x:v>Lat Bar</x:v>
      </x:c>
      <x:c r="C286" s="41" t="str">
        <x:v>Accessories</x:v>
      </x:c>
      <x:c r="D286" s="41" t="str">
        <x:v>Premier</x:v>
      </x:c>
      <x:c r="E286" s="41" t="str">
        <x:v>17</x:v>
      </x:c>
      <x:c r="F286" s="42" t="n">
        <x:v>130</x:v>
      </x:c>
      <x:c r="G286" s="41" t="str">
        <x:v>Nos</x:v>
      </x:c>
      <x:c r="H286" s="41" t="n">
        <x:v>0</x:v>
      </x:c>
      <x:c r="I286" s="41" t="str">
        <x:v>17</x:v>
      </x:c>
      <x:c r="J286" s="41" t="str">
        <x:v>Yes</x:v>
      </x:c>
      <x:c r="K286" s="41" t="str">
        <x:v>Yes</x:v>
      </x:c>
    </x:row>
    <x:row r="287">
      <x:c r="A287" s="41" t="str">
        <x:v>PM1001A</x:v>
      </x:c>
      <x:c r="B287" s="41" t="str">
        <x:v>Vinyl Dumbbell Set - 1–10 kg</x:v>
      </x:c>
      <x:c r="C287" s="41" t="str">
        <x:v>Accessories</x:v>
      </x:c>
      <x:c r="D287" s="41" t="str">
        <x:v>Premier</x:v>
      </x:c>
      <x:c r="E287" s="41" t="str">
        <x:v>17</x:v>
      </x:c>
      <x:c r="F287" s="42" t="n">
        <x:v>1400</x:v>
      </x:c>
      <x:c r="G287" s="41" t="str">
        <x:v>Nos</x:v>
      </x:c>
      <x:c r="H287" s="41" t="n">
        <x:v>0</x:v>
      </x:c>
      <x:c r="I287" s="41" t="str">
        <x:v>1–10 kg; 110 kg total</x:v>
      </x:c>
      <x:c r="J287" s="41" t="str">
        <x:v>Yes</x:v>
      </x:c>
      <x:c r="K287" s="41" t="str">
        <x:v>Yes</x:v>
      </x:c>
    </x:row>
    <x:row r="288">
      <x:c r="A288" s="41" t="str">
        <x:v>PM6005</x:v>
      </x:c>
      <x:c r="B288" s="41" t="str">
        <x:v>V-Shaped Press Down Bar</x:v>
      </x:c>
      <x:c r="C288" s="41" t="str">
        <x:v>Accessories</x:v>
      </x:c>
      <x:c r="D288" s="41" t="str">
        <x:v>Premier</x:v>
      </x:c>
      <x:c r="E288" s="41" t="str">
        <x:v>17</x:v>
      </x:c>
      <x:c r="F288" s="42" t="n">
        <x:v>80</x:v>
      </x:c>
      <x:c r="G288" s="41" t="str">
        <x:v>Nos</x:v>
      </x:c>
      <x:c r="H288" s="41" t="n">
        <x:v>0</x:v>
      </x:c>
      <x:c r="I288" s="41" t="str">
        <x:v>17</x:v>
      </x:c>
      <x:c r="J288" s="41" t="str">
        <x:v>Yes</x:v>
      </x:c>
      <x:c r="K288" s="41" t="str">
        <x:v>Yes</x:v>
      </x:c>
    </x:row>
    <x:row r="289">
      <x:c r="A289" s="41" t="str">
        <x:v>PM6012</x:v>
      </x:c>
      <x:c r="B289" s="41" t="str">
        <x:v>Lat Straight Bar</x:v>
      </x:c>
      <x:c r="C289" s="41" t="str">
        <x:v>Accessories</x:v>
      </x:c>
      <x:c r="D289" s="41" t="str">
        <x:v>Premier</x:v>
      </x:c>
      <x:c r="E289" s="41" t="str">
        <x:v>17</x:v>
      </x:c>
      <x:c r="F289" s="42" t="n">
        <x:v>85</x:v>
      </x:c>
      <x:c r="G289" s="41" t="str">
        <x:v>Nos</x:v>
      </x:c>
      <x:c r="H289" s="41" t="n">
        <x:v>0</x:v>
      </x:c>
      <x:c r="I289" s="41" t="str">
        <x:v>Silver</x:v>
      </x:c>
      <x:c r="J289" s="41" t="str">
        <x:v>Yes</x:v>
      </x:c>
      <x:c r="K289" s="41" t="str">
        <x:v>Yes</x:v>
      </x:c>
    </x:row>
    <x:row r="290">
      <x:c r="A290" s="41" t="str">
        <x:v>PM6027</x:v>
      </x:c>
      <x:c r="B290" s="41" t="str">
        <x:v>Deluxe Straight Pro-Style Lat Bar</x:v>
      </x:c>
      <x:c r="C290" s="41" t="str">
        <x:v>Accessories</x:v>
      </x:c>
      <x:c r="D290" s="41" t="str">
        <x:v>Premier</x:v>
      </x:c>
      <x:c r="E290" s="41" t="str">
        <x:v>17</x:v>
      </x:c>
      <x:c r="F290" s="42" t="n">
        <x:v>130</x:v>
      </x:c>
      <x:c r="G290" s="41" t="str">
        <x:v>Nos</x:v>
      </x:c>
      <x:c r="H290" s="41" t="n">
        <x:v>0</x:v>
      </x:c>
      <x:c r="I290" s="41" t="str">
        <x:v>17</x:v>
      </x:c>
      <x:c r="J290" s="41" t="str">
        <x:v>Yes</x:v>
      </x:c>
      <x:c r="K290" s="41" t="str">
        <x:v>Yes</x:v>
      </x:c>
    </x:row>
    <x:row r="291">
      <x:c r="A291" s="41" t="str">
        <x:v>PM6019</x:v>
      </x:c>
      <x:c r="B291" s="41" t="str">
        <x:v>Deluxe Tricep V-Bar</x:v>
      </x:c>
      <x:c r="C291" s="41" t="str">
        <x:v>Accessories</x:v>
      </x:c>
      <x:c r="D291" s="41" t="str">
        <x:v>Premier</x:v>
      </x:c>
      <x:c r="E291" s="41" t="str">
        <x:v>17</x:v>
      </x:c>
      <x:c r="F291" s="42" t="n">
        <x:v>120</x:v>
      </x:c>
      <x:c r="G291" s="41" t="str">
        <x:v>Nos</x:v>
      </x:c>
      <x:c r="H291" s="41" t="n">
        <x:v>0</x:v>
      </x:c>
      <x:c r="I291" s="41" t="str">
        <x:v>17</x:v>
      </x:c>
      <x:c r="J291" s="41" t="str">
        <x:v>Yes</x:v>
      </x:c>
      <x:c r="K291" s="41" t="str">
        <x:v>Yes</x:v>
      </x:c>
    </x:row>
    <x:row r="292">
      <x:c r="A292" s="41" t="str">
        <x:v>PM6018</x:v>
      </x:c>
      <x:c r="B292" s="41" t="str">
        <x:v>Deluxe Straight Pro-Style Lat Bar</x:v>
      </x:c>
      <x:c r="C292" s="41" t="str">
        <x:v>Accessories</x:v>
      </x:c>
      <x:c r="D292" s="41" t="str">
        <x:v>Premier</x:v>
      </x:c>
      <x:c r="E292" s="41" t="str">
        <x:v>17</x:v>
      </x:c>
      <x:c r="F292" s="42" t="n">
        <x:v>120</x:v>
      </x:c>
      <x:c r="G292" s="41" t="str">
        <x:v>Nos</x:v>
      </x:c>
      <x:c r="H292" s="41" t="n">
        <x:v>0</x:v>
      </x:c>
      <x:c r="I292" s="41" t="str">
        <x:v>17</x:v>
      </x:c>
      <x:c r="J292" s="41" t="str">
        <x:v>Yes</x:v>
      </x:c>
      <x:c r="K292" s="41" t="str">
        <x:v>Yes</x:v>
      </x:c>
    </x:row>
    <x:row r="293">
      <x:c r="A293" s="41" t="str">
        <x:v>PM6009</x:v>
      </x:c>
      <x:c r="B293" s="41" t="str">
        <x:v>Tricep Rope</x:v>
      </x:c>
      <x:c r="C293" s="41" t="str">
        <x:v>Accessories</x:v>
      </x:c>
      <x:c r="D293" s="41" t="str">
        <x:v>Premier</x:v>
      </x:c>
      <x:c r="E293" s="41" t="str">
        <x:v>17</x:v>
      </x:c>
      <x:c r="F293" s="42" t="n">
        <x:v>60</x:v>
      </x:c>
      <x:c r="G293" s="41" t="str">
        <x:v>Nos</x:v>
      </x:c>
      <x:c r="H293" s="41" t="n">
        <x:v>0</x:v>
      </x:c>
      <x:c r="I293" s="41" t="str">
        <x:v>17</x:v>
      </x:c>
      <x:c r="J293" s="41" t="str">
        <x:v>Yes</x:v>
      </x:c>
      <x:c r="K293" s="41" t="str">
        <x:v>Yes</x:v>
      </x:c>
    </x:row>
    <x:row r="294">
      <x:c r="A294" s="41" t="str">
        <x:v>PM6088F</x:v>
      </x:c>
      <x:c r="B294" s="41" t="str">
        <x:v>Barbell Pad</x:v>
      </x:c>
      <x:c r="C294" s="41" t="str">
        <x:v>Accessories</x:v>
      </x:c>
      <x:c r="D294" s="41" t="str">
        <x:v>Premier</x:v>
      </x:c>
      <x:c r="E294" s="41" t="str">
        <x:v>17</x:v>
      </x:c>
      <x:c r="F294" s="42" t="n">
        <x:v>40</x:v>
      </x:c>
      <x:c r="G294" s="41" t="str">
        <x:v>Nos</x:v>
      </x:c>
      <x:c r="H294" s="41" t="n">
        <x:v>0</x:v>
      </x:c>
      <x:c r="I294" s="41" t="str">
        <x:v>With Strap</x:v>
      </x:c>
      <x:c r="J294" s="41" t="str">
        <x:v>Yes</x:v>
      </x:c>
      <x:c r="K294" s="41" t="str">
        <x:v>Yes</x:v>
      </x:c>
    </x:row>
    <x:row r="295">
      <x:c r="A295" s="41" t="str">
        <x:v>PM6015</x:v>
      </x:c>
      <x:c r="B295" s="41" t="str">
        <x:v>Deluxe Revolving V-Bar</x:v>
      </x:c>
      <x:c r="C295" s="41" t="str">
        <x:v>Accessories</x:v>
      </x:c>
      <x:c r="D295" s="41" t="str">
        <x:v>Premier</x:v>
      </x:c>
      <x:c r="E295" s="41" t="str">
        <x:v>17</x:v>
      </x:c>
      <x:c r="F295" s="42" t="n">
        <x:v>85</x:v>
      </x:c>
      <x:c r="G295" s="41" t="str">
        <x:v>Nos</x:v>
      </x:c>
      <x:c r="H295" s="41" t="n">
        <x:v>0</x:v>
      </x:c>
      <x:c r="I295" s="41" t="str">
        <x:v>17</x:v>
      </x:c>
      <x:c r="J295" s="41" t="str">
        <x:v>Yes</x:v>
      </x:c>
      <x:c r="K295" s="41" t="str">
        <x:v>Yes</x:v>
      </x:c>
    </x:row>
    <x:row r="296">
      <x:c r="A296" s="41" t="str">
        <x:v>PM6007</x:v>
      </x:c>
      <x:c r="B296" s="41" t="str">
        <x:v>Single Rope</x:v>
      </x:c>
      <x:c r="C296" s="41" t="str">
        <x:v>Accessories</x:v>
      </x:c>
      <x:c r="D296" s="41" t="str">
        <x:v>Premier</x:v>
      </x:c>
      <x:c r="E296" s="41" t="str">
        <x:v>17</x:v>
      </x:c>
      <x:c r="F296" s="42" t="n">
        <x:v>30</x:v>
      </x:c>
      <x:c r="G296" s="41" t="str">
        <x:v>Nos</x:v>
      </x:c>
      <x:c r="H296" s="41" t="n">
        <x:v>0</x:v>
      </x:c>
      <x:c r="I296" s="41" t="str">
        <x:v>17</x:v>
      </x:c>
      <x:c r="J296" s="41" t="str">
        <x:v>Yes</x:v>
      </x:c>
      <x:c r="K296" s="41" t="str">
        <x:v>Yes</x:v>
      </x:c>
    </x:row>
    <x:row r="297">
      <x:c r="A297" s="41" t="str">
        <x:v>PM6026</x:v>
      </x:c>
      <x:c r="B297" s="41" t="str">
        <x:v>Lat Short Bar</x:v>
      </x:c>
      <x:c r="C297" s="41" t="str">
        <x:v>Accessories</x:v>
      </x:c>
      <x:c r="D297" s="41" t="str">
        <x:v>Premier</x:v>
      </x:c>
      <x:c r="E297" s="41" t="str">
        <x:v>17</x:v>
      </x:c>
      <x:c r="F297" s="42" t="n">
        <x:v>100</x:v>
      </x:c>
      <x:c r="G297" s="41" t="str">
        <x:v>Nos</x:v>
      </x:c>
      <x:c r="H297" s="41" t="n">
        <x:v>0</x:v>
      </x:c>
      <x:c r="I297" s="41" t="str">
        <x:v>Black</x:v>
      </x:c>
      <x:c r="J297" s="41" t="str">
        <x:v>Yes</x:v>
      </x:c>
      <x:c r="K297" s="41" t="str">
        <x:v>Yes</x:v>
      </x:c>
    </x:row>
    <x:row r="298">
      <x:c r="A298" s="41" t="str">
        <x:v>PM0029</x:v>
      </x:c>
      <x:c r="B298" s="41" t="str">
        <x:v>Bar Holder</x:v>
      </x:c>
      <x:c r="C298" s="41" t="str">
        <x:v>Accessories</x:v>
      </x:c>
      <x:c r="D298" s="41" t="str">
        <x:v>Premier</x:v>
      </x:c>
      <x:c r="E298" s="41" t="str">
        <x:v>17</x:v>
      </x:c>
      <x:c r="F298" s="42" t="n">
        <x:v>300</x:v>
      </x:c>
      <x:c r="G298" s="41" t="str">
        <x:v>Nos</x:v>
      </x:c>
      <x:c r="H298" s="41" t="n">
        <x:v>0</x:v>
      </x:c>
      <x:c r="I298" s="41" t="str">
        <x:v>Capacity: 9 Bars; Weight: 14.7 kg</x:v>
      </x:c>
      <x:c r="J298" s="41" t="str">
        <x:v>Yes</x:v>
      </x:c>
      <x:c r="K298" s="41" t="str">
        <x:v>Yes</x:v>
      </x:c>
    </x:row>
    <x:row r="299">
      <x:c r="A299" s="41" t="str">
        <x:v>OK5003-6</x:v>
      </x:c>
      <x:c r="B299" s="41" t="str">
        <x:v>Olympic Bicep Bar</x:v>
      </x:c>
      <x:c r="C299" s="41" t="str">
        <x:v>Accessories</x:v>
      </x:c>
      <x:c r="D299" s="41" t="str">
        <x:v>Premier</x:v>
      </x:c>
      <x:c r="E299" s="41" t="str">
        <x:v>17</x:v>
      </x:c>
      <x:c r="F299" s="42" t="n">
        <x:v>400</x:v>
      </x:c>
      <x:c r="G299" s="41" t="str">
        <x:v>Nos</x:v>
      </x:c>
      <x:c r="H299" s="41" t="n">
        <x:v>0</x:v>
      </x:c>
      <x:c r="I299" s="41" t="str">
        <x:v>Length: 150 cm; Weight: 13 kg; Max Load: 400 lb</x:v>
      </x:c>
      <x:c r="J299" s="41" t="str">
        <x:v>Yes</x:v>
      </x:c>
      <x:c r="K299" s="41" t="str">
        <x:v>Yes</x:v>
      </x:c>
    </x:row>
    <x:row r="300">
      <x:c r="A300" s="41" t="str">
        <x:v>PM1951</x:v>
      </x:c>
      <x:c r="B300" s="41" t="str">
        <x:v>Battle Rope</x:v>
      </x:c>
      <x:c r="C300" s="41" t="str">
        <x:v>Accessories</x:v>
      </x:c>
      <x:c r="D300" s="41" t="str">
        <x:v>Premier</x:v>
      </x:c>
      <x:c r="E300" s="41" t="str">
        <x:v>17</x:v>
      </x:c>
      <x:c r="F300" s="42" t="n">
        <x:v>300</x:v>
      </x:c>
      <x:c r="G300" s="41" t="str">
        <x:v>Nos</x:v>
      </x:c>
      <x:c r="H300" s="41" t="n">
        <x:v>0</x:v>
      </x:c>
      <x:c r="I300" s="41" t="str">
        <x:v>Material: Terylene; Length: 15 m</x:v>
      </x:c>
      <x:c r="J300" s="41" t="str">
        <x:v>Yes</x:v>
      </x:c>
      <x:c r="K300" s="41" t="str">
        <x:v>Yes</x:v>
      </x:c>
    </x:row>
    <x:row r="301">
      <x:c r="A301" s="41" t="str">
        <x:v>PM5003-1</x:v>
      </x:c>
      <x:c r="B301" s="41" t="str">
        <x:v>Olympic Bar</x:v>
      </x:c>
      <x:c r="C301" s="41" t="str">
        <x:v>Accessories</x:v>
      </x:c>
      <x:c r="D301" s="41" t="str">
        <x:v>Premier</x:v>
      </x:c>
      <x:c r="E301" s="41" t="str">
        <x:v>17</x:v>
      </x:c>
      <x:c r="F301" s="42" t="n">
        <x:v>550</x:v>
      </x:c>
      <x:c r="G301" s="41" t="str">
        <x:v>Nos</x:v>
      </x:c>
      <x:c r="H301" s="41" t="n">
        <x:v>0</x:v>
      </x:c>
      <x:c r="I301" s="41" t="str">
        <x:v>Length: 220 cm; Weight: 20 kg; Max Load: 1,500 lb</x:v>
      </x:c>
      <x:c r="J301" s="41" t="str">
        <x:v>Yes</x:v>
      </x:c>
      <x:c r="K301" s="41" t="str">
        <x:v>Yes</x:v>
      </x:c>
    </x:row>
    <x:row r="302">
      <x:c r="A302" s="41" t="str">
        <x:v>PM5004-2</x:v>
      </x:c>
      <x:c r="B302" s="41" t="str">
        <x:v>Olympic Curl Bar</x:v>
      </x:c>
      <x:c r="C302" s="41" t="str">
        <x:v>Accessories</x:v>
      </x:c>
      <x:c r="D302" s="41" t="str">
        <x:v>Premier</x:v>
      </x:c>
      <x:c r="E302" s="41" t="str">
        <x:v>17</x:v>
      </x:c>
      <x:c r="F302" s="42" t="n">
        <x:v>300</x:v>
      </x:c>
      <x:c r="G302" s="41" t="str">
        <x:v>Nos</x:v>
      </x:c>
      <x:c r="H302" s="41" t="n">
        <x:v>0</x:v>
      </x:c>
      <x:c r="I302" s="41" t="str">
        <x:v>Length: 120 cm; Weight: 8.5 kg; Max Load: 300 lb</x:v>
      </x:c>
      <x:c r="J302" s="41" t="str">
        <x:v>Yes</x:v>
      </x:c>
      <x:c r="K302" s="41" t="str">
        <x:v>Yes</x:v>
      </x:c>
    </x:row>
    <x:row r="303">
      <x:c r="A303" s="41" t="str">
        <x:v>PMMB009</x:v>
      </x:c>
      <x:c r="B303" s="41" t="str">
        <x:v>Pulldown Accessories Set</x:v>
      </x:c>
      <x:c r="C303" s="41" t="str">
        <x:v>Accessories</x:v>
      </x:c>
      <x:c r="D303" s="41" t="str">
        <x:v>Premier</x:v>
      </x:c>
      <x:c r="E303" s="41" t="str">
        <x:v>17</x:v>
      </x:c>
      <x:c r="F303" s="42" t="n">
        <x:v>850</x:v>
      </x:c>
      <x:c r="G303" s="41" t="str">
        <x:v>Nos</x:v>
      </x:c>
      <x:c r="H303" s="41" t="n">
        <x:v>0</x:v>
      </x:c>
      <x:c r="I303" s="41" t="str">
        <x:v>8 pcs set</x:v>
      </x:c>
      <x:c r="J303" s="41" t="str">
        <x:v>Yes</x:v>
      </x:c>
      <x:c r="K303" s="41" t="str">
        <x:v>Yes</x:v>
      </x:c>
    </x:row>
    <x:row r="304">
      <x:c r="A304" s="41" t="str">
        <x:v>PM1307</x:v>
      </x:c>
      <x:c r="B304" s="41" t="str">
        <x:v>Push Up Bar</x:v>
      </x:c>
      <x:c r="C304" s="41" t="str">
        <x:v>Accessories</x:v>
      </x:c>
      <x:c r="D304" s="41" t="str">
        <x:v>Premier</x:v>
      </x:c>
      <x:c r="E304" s="41" t="str">
        <x:v>17</x:v>
      </x:c>
      <x:c r="F304" s="42" t="n">
        <x:v>70</x:v>
      </x:c>
      <x:c r="G304" s="41" t="str">
        <x:v>Nos</x:v>
      </x:c>
      <x:c r="H304" s="41" t="n">
        <x:v>0</x:v>
      </x:c>
      <x:c r="I304" s="41" t="str">
        <x:v>17</x:v>
      </x:c>
      <x:c r="J304" s="41" t="str">
        <x:v>Yes</x:v>
      </x:c>
      <x:c r="K304" s="41" t="str">
        <x:v>Yes</x:v>
      </x:c>
    </x:row>
    <x:row r="305">
      <x:c r="A305" s="41" t="str">
        <x:v>PM1317</x:v>
      </x:c>
      <x:c r="B305" s="41" t="str">
        <x:v>Exercise Wheel</x:v>
      </x:c>
      <x:c r="C305" s="41" t="str">
        <x:v>Accessories</x:v>
      </x:c>
      <x:c r="D305" s="41" t="str">
        <x:v>Premier</x:v>
      </x:c>
      <x:c r="E305" s="41" t="str">
        <x:v>17</x:v>
      </x:c>
      <x:c r="F305" s="42" t="n">
        <x:v>60</x:v>
      </x:c>
      <x:c r="G305" s="41" t="str">
        <x:v>Nos</x:v>
      </x:c>
      <x:c r="H305" s="41" t="n">
        <x:v>0</x:v>
      </x:c>
      <x:c r="I305" s="41" t="str">
        <x:v>17</x:v>
      </x:c>
      <x:c r="J305" s="41" t="str">
        <x:v>Yes</x:v>
      </x:c>
      <x:c r="K305" s="41" t="str">
        <x:v>Yes</x:v>
      </x:c>
    </x:row>
    <x:row r="306">
      <x:c r="A306" s="41" t="str">
        <x:v>PM5004-1</x:v>
      </x:c>
      <x:c r="B306" s="41" t="str">
        <x:v>Olympic Bicep Bar</x:v>
      </x:c>
      <x:c r="C306" s="41" t="str">
        <x:v>Accessories</x:v>
      </x:c>
      <x:c r="D306" s="41" t="str">
        <x:v>Premier</x:v>
      </x:c>
      <x:c r="E306" s="41" t="str">
        <x:v>17</x:v>
      </x:c>
      <x:c r="F306" s="42" t="n">
        <x:v>300</x:v>
      </x:c>
      <x:c r="G306" s="41" t="str">
        <x:v>Nos</x:v>
      </x:c>
      <x:c r="H306" s="41" t="n">
        <x:v>0</x:v>
      </x:c>
      <x:c r="I306" s="41" t="str">
        <x:v>Length: 120 cm; Weight: 8.5 kg; Max Load: 300 lb</x:v>
      </x:c>
      <x:c r="J306" s="41" t="str">
        <x:v>Yes</x:v>
      </x:c>
      <x:c r="K306" s="41" t="str">
        <x:v>Yes</x:v>
      </x:c>
    </x:row>
    <x:row r="307">
      <x:c r="A307" s="41" t="str">
        <x:v>PM1009</x:v>
      </x:c>
      <x:c r="B307" s="41" t="str">
        <x:v>PEV Kettlebell Set</x:v>
      </x:c>
      <x:c r="C307" s="41" t="str">
        <x:v>Accessories</x:v>
      </x:c>
      <x:c r="D307" s="41" t="str">
        <x:v>Premier</x:v>
      </x:c>
      <x:c r="E307" s="41" t="str">
        <x:v>17</x:v>
      </x:c>
      <x:c r="F307" s="42" t="n">
        <x:v>1000</x:v>
      </x:c>
      <x:c r="G307" s="41" t="str">
        <x:v>Nos</x:v>
      </x:c>
      <x:c r="H307" s="41" t="n">
        <x:v>0</x:v>
      </x:c>
      <x:c r="I307" s="41" t="str">
        <x:v>4, 6, 8, 10, 12, 16 &amp; 20 kg</x:v>
      </x:c>
      <x:c r="J307" s="41" t="str">
        <x:v>Yes</x:v>
      </x:c>
      <x:c r="K307" s="41" t="str">
        <x:v>Yes</x:v>
      </x:c>
    </x:row>
    <x:row r="308">
      <x:c r="A308" s="41" t="str">
        <x:v>PM0034</x:v>
      </x:c>
      <x:c r="B308" s="41" t="str">
        <x:v>Plate Rack (Tree)</x:v>
      </x:c>
      <x:c r="C308" s="41" t="str">
        <x:v>Accessories</x:v>
      </x:c>
      <x:c r="D308" s="41" t="str">
        <x:v>Premier</x:v>
      </x:c>
      <x:c r="E308" s="41" t="str">
        <x:v>17</x:v>
      </x:c>
      <x:c r="F308" s="42" t="n">
        <x:v>500</x:v>
      </x:c>
      <x:c r="G308" s="41" t="str">
        <x:v>Nos</x:v>
      </x:c>
      <x:c r="H308" s="41" t="n">
        <x:v>0</x:v>
      </x:c>
      <x:c r="I308" s="41" t="str">
        <x:v>Dimensions: 55 × 735 × 965 mm; Net Weight: 20.5 kg</x:v>
      </x:c>
      <x:c r="J308" s="41" t="str">
        <x:v>Yes</x:v>
      </x:c>
      <x:c r="K308" s="41" t="str">
        <x:v>Yes</x:v>
      </x:c>
    </x:row>
    <x:row r="309">
      <x:c r="A309" s="41" t="str">
        <x:v>PM1003</x:v>
      </x:c>
      <x:c r="B309" s="41" t="str">
        <x:v>Vinyl Kettlebell Set</x:v>
      </x:c>
      <x:c r="C309" s="41" t="str">
        <x:v>Accessories</x:v>
      </x:c>
      <x:c r="D309" s="41" t="str">
        <x:v>Premier</x:v>
      </x:c>
      <x:c r="E309" s="41" t="str">
        <x:v>17</x:v>
      </x:c>
      <x:c r="F309" s="42" t="n">
        <x:v>1250</x:v>
      </x:c>
      <x:c r="G309" s="41" t="str">
        <x:v>Nos</x:v>
      </x:c>
      <x:c r="H309" s="41" t="n">
        <x:v>0</x:v>
      </x:c>
      <x:c r="I309" s="41" t="str">
        <x:v>4, 6, 8, 10, 12, 16 &amp; 20 kg</x:v>
      </x:c>
      <x:c r="J309" s="41" t="str">
        <x:v>Yes</x:v>
      </x:c>
      <x:c r="K309" s="41" t="str">
        <x:v>Yes</x:v>
      </x:c>
    </x:row>
    <x:row r="310">
      <x:c r="A310" s="41" t="str">
        <x:v>PM0011C</x:v>
      </x:c>
      <x:c r="B310" s="41" t="str">
        <x:v>Dumbbell Rack</x:v>
      </x:c>
      <x:c r="C310" s="41" t="str">
        <x:v>Accessories</x:v>
      </x:c>
      <x:c r="D310" s="41" t="str">
        <x:v>Premier</x:v>
      </x:c>
      <x:c r="E310" s="41" t="str">
        <x:v>17</x:v>
      </x:c>
      <x:c r="F310" s="42" t="n">
        <x:v>1400</x:v>
      </x:c>
      <x:c r="G310" s="41" t="str">
        <x:v>Nos</x:v>
      </x:c>
      <x:c r="H310" s="41" t="n">
        <x:v>0</x:v>
      </x:c>
      <x:c r="I310" s="41" t="str">
        <x:v>Assembly Size: 245 × 71 × 74 cm; Main Tube: 40 × 80 cm; Net Weight: 51 kg</x:v>
      </x:c>
      <x:c r="J310" s="41" t="str">
        <x:v>Yes</x:v>
      </x:c>
      <x:c r="K310" s="41" t="str">
        <x:v>Yes</x:v>
      </x:c>
    </x:row>
    <x:row r="311">
      <x:c r="A311" s="41" t="str">
        <x:v>PM0033</x:v>
      </x:c>
      <x:c r="B311" s="41" t="str">
        <x:v>Plate Rack (Tree)</x:v>
      </x:c>
      <x:c r="C311" s="41" t="str">
        <x:v>Accessories</x:v>
      </x:c>
      <x:c r="D311" s="41" t="str">
        <x:v>Premier</x:v>
      </x:c>
      <x:c r="E311" s="41" t="str">
        <x:v>17</x:v>
      </x:c>
      <x:c r="F311" s="42" t="n">
        <x:v>500</x:v>
      </x:c>
      <x:c r="G311" s="41" t="str">
        <x:v>Nos</x:v>
      </x:c>
      <x:c r="H311" s="41" t="n">
        <x:v>0</x:v>
      </x:c>
      <x:c r="I311" s="41" t="str">
        <x:v>Dimensions: 810 × 810 × 1325 mm; Net Weight: 30 kg</x:v>
      </x:c>
      <x:c r="J311" s="41" t="str">
        <x:v>Yes</x:v>
      </x:c>
      <x:c r="K311" s="41" t="str">
        <x:v>Yes</x:v>
      </x:c>
    </x:row>
    <x:row r="312">
      <x:c r="A312" s="41" t="str">
        <x:v>PM1005</x:v>
      </x:c>
      <x:c r="B312" s="41" t="str">
        <x:v>Cast Iron Kettlebell Set</x:v>
      </x:c>
      <x:c r="C312" s="41" t="str">
        <x:v>Accessories</x:v>
      </x:c>
      <x:c r="D312" s="41" t="str">
        <x:v>Premier</x:v>
      </x:c>
      <x:c r="E312" s="41" t="str">
        <x:v>17</x:v>
      </x:c>
      <x:c r="F312" s="42" t="n">
        <x:v>1000</x:v>
      </x:c>
      <x:c r="G312" s="41" t="str">
        <x:v>Nos</x:v>
      </x:c>
      <x:c r="H312" s="41" t="n">
        <x:v>0</x:v>
      </x:c>
      <x:c r="I312" s="41" t="str">
        <x:v>4, 6, 8 &amp; 10 kg</x:v>
      </x:c>
      <x:c r="J312" s="41" t="str">
        <x:v>Yes</x:v>
      </x:c>
      <x:c r="K312" s="41" t="str">
        <x:v>Yes</x:v>
      </x:c>
    </x:row>
    <x:row r="313">
      <x:c r="A313" s="41" t="str">
        <x:v>PM2009B</x:v>
      </x:c>
      <x:c r="B313" s="41" t="str">
        <x:v>Rubber Weight Plate -</x:v>
      </x:c>
      <x:c r="C313" s="41" t="str">
        <x:v>Weights</x:v>
      </x:c>
      <x:c r="D313" s="41" t="str">
        <x:v>Premier</x:v>
      </x:c>
      <x:c r="E313" s="41" t="str">
        <x:v>17</x:v>
      </x:c>
      <x:c r="F313" s="42" t="n">
        <x:v>300</x:v>
      </x:c>
      <x:c r="G313" s="41" t="str">
        <x:v>Nos</x:v>
      </x:c>
      <x:c r="H313" s="41" t="n">
        <x:v>0</x:v>
      </x:c>
      <x:c r="I313" s="41" t="str">
        <x:v>17</x:v>
      </x:c>
      <x:c r="J313" s="41" t="str">
        <x:v>Yes</x:v>
      </x:c>
      <x:c r="K313" s="41" t="str">
        <x:v>Yes</x:v>
      </x:c>
    </x:row>
    <x:row r="314">
      <x:c r="A314" s="41" t="str">
        <x:v>PM2006-2-20</x:v>
      </x:c>
      <x:c r="B314" s="41" t="str">
        <x:v>Color Bumper Plate - 20 kg</x:v>
      </x:c>
      <x:c r="C314" s="41" t="str">
        <x:v>Weights</x:v>
      </x:c>
      <x:c r="D314" s="41" t="str">
        <x:v>Premier</x:v>
      </x:c>
      <x:c r="E314" s="41" t="str">
        <x:v>17</x:v>
      </x:c>
      <x:c r="F314" s="42" t="n">
        <x:v>440</x:v>
      </x:c>
      <x:c r="G314" s="41" t="str">
        <x:v>Nos</x:v>
      </x:c>
      <x:c r="H314" s="41" t="n">
        <x:v>0</x:v>
      </x:c>
      <x:c r="I314" s="41" t="str">
        <x:v>20 kg</x:v>
      </x:c>
      <x:c r="J314" s="41" t="str">
        <x:v>Yes</x:v>
      </x:c>
      <x:c r="K314" s="41" t="str">
        <x:v>Yes</x:v>
      </x:c>
    </x:row>
    <x:row r="315">
      <x:c r="A315" s="41" t="str">
        <x:v>PM2006-2-15</x:v>
      </x:c>
      <x:c r="B315" s="41" t="str">
        <x:v>Color Bumper Plate - 15 kg</x:v>
      </x:c>
      <x:c r="C315" s="41" t="str">
        <x:v>Weights</x:v>
      </x:c>
      <x:c r="D315" s="41" t="str">
        <x:v>Premier</x:v>
      </x:c>
      <x:c r="E315" s="41" t="str">
        <x:v>17</x:v>
      </x:c>
      <x:c r="F315" s="42" t="n">
        <x:v>330</x:v>
      </x:c>
      <x:c r="G315" s="41" t="str">
        <x:v>Nos</x:v>
      </x:c>
      <x:c r="H315" s="41" t="n">
        <x:v>0</x:v>
      </x:c>
      <x:c r="I315" s="41" t="str">
        <x:v>15 kg</x:v>
      </x:c>
      <x:c r="J315" s="41" t="str">
        <x:v>Yes</x:v>
      </x:c>
      <x:c r="K315" s="41" t="str">
        <x:v>Yes</x:v>
      </x:c>
    </x:row>
    <x:row r="316">
      <x:c r="A316" s="41" t="str">
        <x:v>PM2042B</x:v>
      </x:c>
      <x:c r="B316" s="41" t="str">
        <x:v>Rubber Weight Plate -</x:v>
      </x:c>
      <x:c r="C316" s="41" t="str">
        <x:v>Weights</x:v>
      </x:c>
      <x:c r="D316" s="41" t="str">
        <x:v>Premier</x:v>
      </x:c>
      <x:c r="E316" s="41" t="str">
        <x:v>17</x:v>
      </x:c>
      <x:c r="F316" s="42" t="n">
        <x:v>300</x:v>
      </x:c>
      <x:c r="G316" s="41" t="str">
        <x:v>Nos</x:v>
      </x:c>
      <x:c r="H316" s="41" t="n">
        <x:v>0</x:v>
      </x:c>
      <x:c r="I316" s="41" t="str">
        <x:v>17</x:v>
      </x:c>
      <x:c r="J316" s="41" t="str">
        <x:v>Yes</x:v>
      </x:c>
      <x:c r="K316" s="41" t="str">
        <x:v>Yes</x:v>
      </x:c>
    </x:row>
    <x:row r="317">
      <x:c r="A317" s="41" t="str">
        <x:v>PM0041</x:v>
      </x:c>
      <x:c r="B317" s="41" t="str">
        <x:v>Barbell Rack</x:v>
      </x:c>
      <x:c r="C317" s="41" t="str">
        <x:v>Weights</x:v>
      </x:c>
      <x:c r="D317" s="41" t="str">
        <x:v>Premier</x:v>
      </x:c>
      <x:c r="E317" s="41" t="str">
        <x:v>17</x:v>
      </x:c>
      <x:c r="F317" s="42" t="n">
        <x:v>1200</x:v>
      </x:c>
      <x:c r="G317" s="41" t="str">
        <x:v>Nos</x:v>
      </x:c>
      <x:c r="H317" s="41" t="n">
        <x:v>0</x:v>
      </x:c>
      <x:c r="I317" s="41" t="str">
        <x:v>Dimensions: 73.5 × 88 × 134.5 cm; Net Weight: 55 kg</x:v>
      </x:c>
      <x:c r="J317" s="41" t="str">
        <x:v>Yes</x:v>
      </x:c>
      <x:c r="K317" s="41" t="str">
        <x:v>Yes</x:v>
      </x:c>
    </x:row>
    <x:row r="318">
      <x:c r="A318" s="41" t="str">
        <x:v>PM0081A</x:v>
      </x:c>
      <x:c r="B318" s="41" t="str">
        <x:v>Weight Lifting Platform</x:v>
      </x:c>
      <x:c r="C318" s="41" t="str">
        <x:v>Accessories</x:v>
      </x:c>
      <x:c r="D318" s="41" t="str">
        <x:v>Premier</x:v>
      </x:c>
      <x:c r="E318" s="41" t="str">
        <x:v>17</x:v>
      </x:c>
      <x:c r="F318" s="42" t="n">
        <x:v>3850</x:v>
      </x:c>
      <x:c r="G318" s="41" t="str">
        <x:v>Nos</x:v>
      </x:c>
      <x:c r="H318" s="41" t="n">
        <x:v>0</x:v>
      </x:c>
      <x:c r="I318" s="41" t="str">
        <x:v>Size: 2.2 × 1.8 m; Steel Tube: 50 × 50 × 3 mm; Mats: 60 × 60 × 3 cm, 6 pcs; Wooden Board: 100 × 180 × 3 cm, 1 pc</x:v>
      </x:c>
      <x:c r="J318" s="41" t="str">
        <x:v>Yes</x:v>
      </x:c>
      <x:c r="K318" s="41" t="str">
        <x:v>Yes</x:v>
      </x:c>
    </x:row>
    <x:row r="319">
      <x:c r="A319" s="41" t="str">
        <x:v>PM2006-2-25</x:v>
      </x:c>
      <x:c r="B319" s="41" t="str">
        <x:v>Color Bumper Plate - 25 kg</x:v>
      </x:c>
      <x:c r="C319" s="41" t="str">
        <x:v>Weights</x:v>
      </x:c>
      <x:c r="D319" s="41" t="str">
        <x:v>Premier</x:v>
      </x:c>
      <x:c r="E319" s="41" t="str">
        <x:v>17</x:v>
      </x:c>
      <x:c r="F319" s="42" t="n">
        <x:v>550</x:v>
      </x:c>
      <x:c r="G319" s="41" t="str">
        <x:v>Nos</x:v>
      </x:c>
      <x:c r="H319" s="41" t="n">
        <x:v>0</x:v>
      </x:c>
      <x:c r="I319" s="41" t="str">
        <x:v>25 kg</x:v>
      </x:c>
      <x:c r="J319" s="41" t="str">
        <x:v>Yes</x:v>
      </x:c>
      <x:c r="K319" s="41" t="str">
        <x:v>Yes</x:v>
      </x:c>
    </x:row>
    <x:row r="320">
      <x:c r="A320" s="41" t="str">
        <x:v>PM2006-2</x:v>
      </x:c>
      <x:c r="B320" s="41" t="str">
        <x:v>Color Bumper Plate - 5 kg</x:v>
      </x:c>
      <x:c r="C320" s="41" t="str">
        <x:v>Weights</x:v>
      </x:c>
      <x:c r="D320" s="41" t="str">
        <x:v>Premier</x:v>
      </x:c>
      <x:c r="E320" s="41" t="str">
        <x:v>17</x:v>
      </x:c>
      <x:c r="F320" s="42" t="n">
        <x:v>110</x:v>
      </x:c>
      <x:c r="G320" s="41" t="str">
        <x:v>Nos</x:v>
      </x:c>
      <x:c r="H320" s="41" t="n">
        <x:v>0</x:v>
      </x:c>
      <x:c r="I320" s="41" t="str">
        <x:v>5 kg</x:v>
      </x:c>
      <x:c r="J320" s="41" t="str">
        <x:v>Yes</x:v>
      </x:c>
      <x:c r="K320" s="41" t="str">
        <x:v>Yes</x:v>
      </x:c>
    </x:row>
    <x:row r="321">
      <x:c r="A321" s="41" t="str">
        <x:v>PM2006-2-10</x:v>
      </x:c>
      <x:c r="B321" s="41" t="str">
        <x:v>Color Bumper Plate - 10 kg</x:v>
      </x:c>
      <x:c r="C321" s="41" t="str">
        <x:v>Weights</x:v>
      </x:c>
      <x:c r="D321" s="41" t="str">
        <x:v>Premier</x:v>
      </x:c>
      <x:c r="E321" s="41" t="str">
        <x:v>17</x:v>
      </x:c>
      <x:c r="F321" s="42" t="n">
        <x:v>220</x:v>
      </x:c>
      <x:c r="G321" s="41" t="str">
        <x:v>Nos</x:v>
      </x:c>
      <x:c r="H321" s="41" t="n">
        <x:v>0</x:v>
      </x:c>
      <x:c r="I321" s="41" t="str">
        <x:v>10 kg</x:v>
      </x:c>
      <x:c r="J321" s="41" t="str">
        <x:v>Yes</x:v>
      </x:c>
      <x:c r="K321" s="41" t="str">
        <x:v>Yes</x:v>
      </x:c>
    </x:row>
    <x:row r="322">
      <x:c r="A322" s="41" t="str">
        <x:v>PM2005C-10</x:v>
      </x:c>
      <x:c r="B322" s="41" t="str">
        <x:v>Rubber Weight Plate - 10 kg</x:v>
      </x:c>
      <x:c r="C322" s="41" t="str">
        <x:v>Weights</x:v>
      </x:c>
      <x:c r="D322" s="41" t="str">
        <x:v>Premier</x:v>
      </x:c>
      <x:c r="E322" s="41" t="str">
        <x:v>17</x:v>
      </x:c>
      <x:c r="F322" s="42" t="n">
        <x:v>120</x:v>
      </x:c>
      <x:c r="G322" s="41" t="str">
        <x:v>Nos</x:v>
      </x:c>
      <x:c r="H322" s="41" t="n">
        <x:v>0</x:v>
      </x:c>
      <x:c r="I322" s="41" t="str">
        <x:v>10 kg</x:v>
      </x:c>
      <x:c r="J322" s="41" t="str">
        <x:v>Yes</x:v>
      </x:c>
      <x:c r="K322" s="41" t="str">
        <x:v>Yes</x:v>
      </x:c>
    </x:row>
    <x:row r="323">
      <x:c r="A323" s="41" t="str">
        <x:v>PM2005C-5</x:v>
      </x:c>
      <x:c r="B323" s="41" t="str">
        <x:v>Rubber Weight Plate - 5 kg</x:v>
      </x:c>
      <x:c r="C323" s="41" t="str">
        <x:v>Weights</x:v>
      </x:c>
      <x:c r="D323" s="41" t="str">
        <x:v>Premier</x:v>
      </x:c>
      <x:c r="E323" s="41" t="str">
        <x:v>17</x:v>
      </x:c>
      <x:c r="F323" s="42" t="n">
        <x:v>60</x:v>
      </x:c>
      <x:c r="G323" s="41" t="str">
        <x:v>Nos</x:v>
      </x:c>
      <x:c r="H323" s="41" t="n">
        <x:v>0</x:v>
      </x:c>
      <x:c r="I323" s="41" t="str">
        <x:v>5 kg</x:v>
      </x:c>
      <x:c r="J323" s="41" t="str">
        <x:v>Yes</x:v>
      </x:c>
      <x:c r="K323" s="41" t="str">
        <x:v>Yes</x:v>
      </x:c>
    </x:row>
    <x:row r="324">
      <x:c r="A324" s="41" t="str">
        <x:v>PM2030C-25</x:v>
      </x:c>
      <x:c r="B324" s="41" t="str">
        <x:v>TPU Weight Plate - 25 kg</x:v>
      </x:c>
      <x:c r="C324" s="41" t="str">
        <x:v>Weights</x:v>
      </x:c>
      <x:c r="D324" s="41" t="str">
        <x:v>Premier</x:v>
      </x:c>
      <x:c r="E324" s="41" t="str">
        <x:v>17</x:v>
      </x:c>
      <x:c r="F324" s="42" t="n">
        <x:v>400</x:v>
      </x:c>
      <x:c r="G324" s="41" t="str">
        <x:v>Nos</x:v>
      </x:c>
      <x:c r="H324" s="41" t="n">
        <x:v>0</x:v>
      </x:c>
      <x:c r="I324" s="41" t="str">
        <x:v>25 kg</x:v>
      </x:c>
      <x:c r="J324" s="41" t="str">
        <x:v>Yes</x:v>
      </x:c>
      <x:c r="K324" s="41" t="str">
        <x:v>Yes</x:v>
      </x:c>
    </x:row>
    <x:row r="325">
      <x:c r="A325" s="41" t="str">
        <x:v>PM2005C-20</x:v>
      </x:c>
      <x:c r="B325" s="41" t="str">
        <x:v>Rubber Weight Plate - 20 kg</x:v>
      </x:c>
      <x:c r="C325" s="41" t="str">
        <x:v>Weights</x:v>
      </x:c>
      <x:c r="D325" s="41" t="str">
        <x:v>Premier</x:v>
      </x:c>
      <x:c r="E325" s="41" t="str">
        <x:v>17</x:v>
      </x:c>
      <x:c r="F325" s="42" t="n">
        <x:v>240</x:v>
      </x:c>
      <x:c r="G325" s="41" t="str">
        <x:v>Nos</x:v>
      </x:c>
      <x:c r="H325" s="41" t="n">
        <x:v>0</x:v>
      </x:c>
      <x:c r="I325" s="41" t="str">
        <x:v>20 kg</x:v>
      </x:c>
      <x:c r="J325" s="41" t="str">
        <x:v>Yes</x:v>
      </x:c>
      <x:c r="K325" s="41" t="str">
        <x:v>Yes</x:v>
      </x:c>
    </x:row>
    <x:row r="326">
      <x:c r="A326" s="41" t="str">
        <x:v>PM2037B</x:v>
      </x:c>
      <x:c r="B326" s="41" t="str">
        <x:v>Rubber Weight Plate -</x:v>
      </x:c>
      <x:c r="C326" s="41" t="str">
        <x:v>Weights</x:v>
      </x:c>
      <x:c r="D326" s="41" t="str">
        <x:v>Premier</x:v>
      </x:c>
      <x:c r="E326" s="41" t="str">
        <x:v>17</x:v>
      </x:c>
      <x:c r="F326" s="42" t="n">
        <x:v>300</x:v>
      </x:c>
      <x:c r="G326" s="41" t="str">
        <x:v>Nos</x:v>
      </x:c>
      <x:c r="H326" s="41" t="n">
        <x:v>0</x:v>
      </x:c>
      <x:c r="I326" s="41" t="str">
        <x:v>17</x:v>
      </x:c>
      <x:c r="J326" s="41" t="str">
        <x:v>Yes</x:v>
      </x:c>
      <x:c r="K326" s="41" t="str">
        <x:v>Yes</x:v>
      </x:c>
    </x:row>
    <x:row r="327">
      <x:c r="A327" s="41" t="str">
        <x:v>PM2005C-25</x:v>
      </x:c>
      <x:c r="B327" s="41" t="str">
        <x:v>Rubber Weight Plate - 25 kg</x:v>
      </x:c>
      <x:c r="C327" s="41" t="str">
        <x:v>Weights</x:v>
      </x:c>
      <x:c r="D327" s="41" t="str">
        <x:v>Premier</x:v>
      </x:c>
      <x:c r="E327" s="41" t="str">
        <x:v>17</x:v>
      </x:c>
      <x:c r="F327" s="42" t="n">
        <x:v>300</x:v>
      </x:c>
      <x:c r="G327" s="41" t="str">
        <x:v>Nos</x:v>
      </x:c>
      <x:c r="H327" s="41" t="n">
        <x:v>0</x:v>
      </x:c>
      <x:c r="I327" s="41" t="str">
        <x:v>25 kg</x:v>
      </x:c>
      <x:c r="J327" s="41" t="str">
        <x:v>Yes</x:v>
      </x:c>
      <x:c r="K327" s="41" t="str">
        <x:v>Yes</x:v>
      </x:c>
    </x:row>
    <x:row r="328">
      <x:c r="A328" s="41" t="str">
        <x:v>PM2005C-15</x:v>
      </x:c>
      <x:c r="B328" s="41" t="str">
        <x:v>Rubber Weight Plate - 15 kg</x:v>
      </x:c>
      <x:c r="C328" s="41" t="str">
        <x:v>Weights</x:v>
      </x:c>
      <x:c r="D328" s="41" t="str">
        <x:v>Premier</x:v>
      </x:c>
      <x:c r="E328" s="41" t="str">
        <x:v>17</x:v>
      </x:c>
      <x:c r="F328" s="42" t="n">
        <x:v>180</x:v>
      </x:c>
      <x:c r="G328" s="41" t="str">
        <x:v>Nos</x:v>
      </x:c>
      <x:c r="H328" s="41" t="n">
        <x:v>0</x:v>
      </x:c>
      <x:c r="I328" s="41" t="str">
        <x:v>15 kg</x:v>
      </x:c>
      <x:c r="J328" s="41" t="str">
        <x:v>Yes</x:v>
      </x:c>
      <x:c r="K328" s="41" t="str">
        <x:v>Yes</x:v>
      </x:c>
    </x:row>
    <x:row r="329">
      <x:c r="A329" s="41" t="str">
        <x:v>PM2005</x:v>
      </x:c>
      <x:c r="B329" s="41" t="str">
        <x:v>Rubber Weight Plate -</x:v>
      </x:c>
      <x:c r="C329" s="41" t="str">
        <x:v>Weights</x:v>
      </x:c>
      <x:c r="D329" s="41" t="str">
        <x:v>Premier</x:v>
      </x:c>
      <x:c r="E329" s="41" t="str">
        <x:v>17</x:v>
      </x:c>
      <x:c r="F329" s="42" t="n">
        <x:v>300</x:v>
      </x:c>
      <x:c r="G329" s="41" t="str">
        <x:v>Nos</x:v>
      </x:c>
      <x:c r="H329" s="41" t="n">
        <x:v>0</x:v>
      </x:c>
      <x:c r="I329" s="41" t="str">
        <x:v>17</x:v>
      </x:c>
      <x:c r="J329" s="41" t="str">
        <x:v>Yes</x:v>
      </x:c>
      <x:c r="K329" s="41" t="str">
        <x:v>Yes</x:v>
      </x:c>
    </x:row>
    <x:row r="330">
      <x:c r="A330" s="41" t="str">
        <x:v>PM2005C</x:v>
      </x:c>
      <x:c r="B330" s="41" t="str">
        <x:v>Rubber Weight Plate - 2.5 kg</x:v>
      </x:c>
      <x:c r="C330" s="41" t="str">
        <x:v>Weights</x:v>
      </x:c>
      <x:c r="D330" s="41" t="str">
        <x:v>Premier</x:v>
      </x:c>
      <x:c r="E330" s="41" t="str">
        <x:v>17</x:v>
      </x:c>
      <x:c r="F330" s="42" t="n">
        <x:v>30</x:v>
      </x:c>
      <x:c r="G330" s="41" t="str">
        <x:v>Nos</x:v>
      </x:c>
      <x:c r="H330" s="41" t="n">
        <x:v>0</x:v>
      </x:c>
      <x:c r="I330" s="41" t="str">
        <x:v>2.5 kg</x:v>
      </x:c>
      <x:c r="J330" s="41" t="str">
        <x:v>Yes</x:v>
      </x:c>
      <x:c r="K330" s="41" t="str">
        <x:v>Yes</x:v>
      </x:c>
    </x:row>
    <x:row r="331">
      <x:c r="A331" s="41" t="str">
        <x:v>PM3015</x:v>
      </x:c>
      <x:c r="B331" s="41" t="str">
        <x:v>Rubber Coated Barbell Set</x:v>
      </x:c>
      <x:c r="C331" s="41" t="str">
        <x:v>Weights</x:v>
      </x:c>
      <x:c r="D331" s="41" t="str">
        <x:v>Premier</x:v>
      </x:c>
      <x:c r="E331" s="41" t="str">
        <x:v>17</x:v>
      </x:c>
      <x:c r="F331" s="42" t="n">
        <x:v>3500</x:v>
      </x:c>
      <x:c r="G331" s="41" t="str">
        <x:v>Nos</x:v>
      </x:c>
      <x:c r="H331" s="41" t="n">
        <x:v>0</x:v>
      </x:c>
      <x:c r="I331" s="41" t="str">
        <x:v>5 Straight + 5 Curl Bars; 10, 15, 20, 25 &amp; 30 kg; 200 kg total</x:v>
      </x:c>
      <x:c r="J331" s="41" t="str">
        <x:v>Yes</x:v>
      </x:c>
      <x:c r="K331" s="41" t="str">
        <x:v>Yes</x:v>
      </x:c>
    </x:row>
    <x:row r="332">
      <x:c r="A332" s="41" t="str">
        <x:v>PM2030C-20</x:v>
      </x:c>
      <x:c r="B332" s="41" t="str">
        <x:v>TPU Weight Plate - 20 kg</x:v>
      </x:c>
      <x:c r="C332" s="41" t="str">
        <x:v>Weights</x:v>
      </x:c>
      <x:c r="D332" s="41" t="str">
        <x:v>Premier</x:v>
      </x:c>
      <x:c r="E332" s="41" t="str">
        <x:v>17</x:v>
      </x:c>
      <x:c r="F332" s="42" t="n">
        <x:v>320</x:v>
      </x:c>
      <x:c r="G332" s="41" t="str">
        <x:v>Nos</x:v>
      </x:c>
      <x:c r="H332" s="41" t="n">
        <x:v>0</x:v>
      </x:c>
      <x:c r="I332" s="41" t="str">
        <x:v>20 kg</x:v>
      </x:c>
      <x:c r="J332" s="41" t="str">
        <x:v>Yes</x:v>
      </x:c>
      <x:c r="K332" s="41" t="str">
        <x:v>Yes</x:v>
      </x:c>
    </x:row>
    <x:row r="333">
      <x:c r="A333" s="41" t="str">
        <x:v>PM2030C-15</x:v>
      </x:c>
      <x:c r="B333" s="41" t="str">
        <x:v>TPU Weight Plate - 15 kg</x:v>
      </x:c>
      <x:c r="C333" s="41" t="str">
        <x:v>Weights</x:v>
      </x:c>
      <x:c r="D333" s="41" t="str">
        <x:v>Premier</x:v>
      </x:c>
      <x:c r="E333" s="41" t="str">
        <x:v>17</x:v>
      </x:c>
      <x:c r="F333" s="42" t="n">
        <x:v>240</x:v>
      </x:c>
      <x:c r="G333" s="41" t="str">
        <x:v>Nos</x:v>
      </x:c>
      <x:c r="H333" s="41" t="n">
        <x:v>0</x:v>
      </x:c>
      <x:c r="I333" s="41" t="str">
        <x:v>15 kg</x:v>
      </x:c>
      <x:c r="J333" s="41" t="str">
        <x:v>Yes</x:v>
      </x:c>
      <x:c r="K333" s="41" t="str">
        <x:v>Yes</x:v>
      </x:c>
    </x:row>
    <x:row r="334">
      <x:c r="A334" s="41" t="str">
        <x:v>PM2030C-10</x:v>
      </x:c>
      <x:c r="B334" s="41" t="str">
        <x:v>TPU Weight Plate - 10 kg</x:v>
      </x:c>
      <x:c r="C334" s="41" t="str">
        <x:v>Weights</x:v>
      </x:c>
      <x:c r="D334" s="41" t="str">
        <x:v>Premier</x:v>
      </x:c>
      <x:c r="E334" s="41" t="str">
        <x:v>17</x:v>
      </x:c>
      <x:c r="F334" s="42" t="n">
        <x:v>160</x:v>
      </x:c>
      <x:c r="G334" s="41" t="str">
        <x:v>Nos</x:v>
      </x:c>
      <x:c r="H334" s="41" t="n">
        <x:v>0</x:v>
      </x:c>
      <x:c r="I334" s="41" t="str">
        <x:v>10 kg</x:v>
      </x:c>
      <x:c r="J334" s="41" t="str">
        <x:v>Yes</x:v>
      </x:c>
      <x:c r="K334" s="41" t="str">
        <x:v>Yes</x:v>
      </x:c>
    </x:row>
    <x:row r="335">
      <x:c r="A335" s="41" t="str">
        <x:v>PM3015-250</x:v>
      </x:c>
      <x:c r="B335" s="41" t="str">
        <x:v>Rubber Coated Barbell Set - (250 kg)</x:v>
      </x:c>
      <x:c r="C335" s="41" t="str">
        <x:v>Weights</x:v>
      </x:c>
      <x:c r="D335" s="41" t="str">
        <x:v>Premier</x:v>
      </x:c>
      <x:c r="E335" s="41" t="str">
        <x:v>17</x:v>
      </x:c>
      <x:c r="F335" s="42" t="n">
        <x:v>3750</x:v>
      </x:c>
      <x:c r="G335" s="41" t="str">
        <x:v>Nos</x:v>
      </x:c>
      <x:c r="H335" s="41" t="n">
        <x:v>0</x:v>
      </x:c>
      <x:c r="I335" s="41" t="str">
        <x:v>5 Straight + 5 Curl Bars; 10, 12.5, 15, 17.5, 20, 25, 30, 35, 40 &amp; 45 kg; 250 kg total</x:v>
      </x:c>
      <x:c r="J335" s="41" t="str">
        <x:v>Yes</x:v>
      </x:c>
      <x:c r="K335" s="41" t="str">
        <x:v>Yes</x:v>
      </x:c>
    </x:row>
    <x:row r="336">
      <x:c r="A336" s="41" t="str">
        <x:v>PM1012-50</x:v>
      </x:c>
      <x:c r="B336" s="41" t="str">
        <x:v>Rubber Dumbbell Set - 2.5kg–50 kg</x:v>
      </x:c>
      <x:c r="C336" s="41" t="str">
        <x:v>Weights</x:v>
      </x:c>
      <x:c r="D336" s="41" t="str">
        <x:v>Premier</x:v>
      </x:c>
      <x:c r="E336" s="41" t="str">
        <x:v>17</x:v>
      </x:c>
      <x:c r="F336" s="42" t="n">
        <x:v>13800</x:v>
      </x:c>
      <x:c r="G336" s="41" t="str">
        <x:v>Nos</x:v>
      </x:c>
      <x:c r="H336" s="41" t="n">
        <x:v>0</x:v>
      </x:c>
      <x:c r="I336" s="41" t="str">
        <x:v>2.5–50 kg; 1,050 kg total</x:v>
      </x:c>
      <x:c r="J336" s="41" t="str">
        <x:v>Yes</x:v>
      </x:c>
      <x:c r="K336" s="41" t="str">
        <x:v>Yes</x:v>
      </x:c>
    </x:row>
    <x:row r="337">
      <x:c r="A337" s="41" t="str">
        <x:v>PM2030C</x:v>
      </x:c>
      <x:c r="B337" s="41" t="str">
        <x:v>TPU Weight Plate - 2.5 kg</x:v>
      </x:c>
      <x:c r="C337" s="41" t="str">
        <x:v>Weights</x:v>
      </x:c>
      <x:c r="D337" s="41" t="str">
        <x:v>Premier</x:v>
      </x:c>
      <x:c r="E337" s="41" t="str">
        <x:v>17</x:v>
      </x:c>
      <x:c r="F337" s="42" t="n">
        <x:v>40</x:v>
      </x:c>
      <x:c r="G337" s="41" t="str">
        <x:v>Nos</x:v>
      </x:c>
      <x:c r="H337" s="41" t="n">
        <x:v>0</x:v>
      </x:c>
      <x:c r="I337" s="41" t="str">
        <x:v>2.5 kg</x:v>
      </x:c>
      <x:c r="J337" s="41" t="str">
        <x:v>Yes</x:v>
      </x:c>
      <x:c r="K337" s="41" t="str">
        <x:v>Yes</x:v>
      </x:c>
    </x:row>
    <x:row r="338">
      <x:c r="A338" s="41" t="str">
        <x:v>PM2030C-5</x:v>
      </x:c>
      <x:c r="B338" s="41" t="str">
        <x:v>TPU Weight Plate - 5 kg</x:v>
      </x:c>
      <x:c r="C338" s="41" t="str">
        <x:v>Weights</x:v>
      </x:c>
      <x:c r="D338" s="41" t="str">
        <x:v>Premier</x:v>
      </x:c>
      <x:c r="E338" s="41" t="str">
        <x:v>17</x:v>
      </x:c>
      <x:c r="F338" s="42" t="n">
        <x:v>80</x:v>
      </x:c>
      <x:c r="G338" s="41" t="str">
        <x:v>Nos</x:v>
      </x:c>
      <x:c r="H338" s="41" t="n">
        <x:v>0</x:v>
      </x:c>
      <x:c r="I338" s="41" t="str">
        <x:v>5 kg</x:v>
      </x:c>
      <x:c r="J338" s="41" t="str">
        <x:v>Yes</x:v>
      </x:c>
      <x:c r="K338" s="41" t="str">
        <x:v>Yes</x:v>
      </x:c>
    </x:row>
    <x:row r="339">
      <x:c r="A339" s="41" t="str">
        <x:v>PM1036-50</x:v>
      </x:c>
      <x:c r="B339" s="41" t="str">
        <x:v>TPU Dumbbell Set - 2.5kg–50 kg</x:v>
      </x:c>
      <x:c r="C339" s="41" t="str">
        <x:v>Weights</x:v>
      </x:c>
      <x:c r="D339" s="41" t="str">
        <x:v>Premier</x:v>
      </x:c>
      <x:c r="E339" s="41" t="str">
        <x:v>17</x:v>
      </x:c>
      <x:c r="F339" s="42" t="n">
        <x:v>15500</x:v>
      </x:c>
      <x:c r="G339" s="41" t="str">
        <x:v>Nos</x:v>
      </x:c>
      <x:c r="H339" s="41" t="n">
        <x:v>0</x:v>
      </x:c>
      <x:c r="I339" s="41" t="str">
        <x:v>2.5–50 kg; 1,050 kg total</x:v>
      </x:c>
      <x:c r="J339" s="41" t="str">
        <x:v>Yes</x:v>
      </x:c>
      <x:c r="K339" s="41" t="str">
        <x:v>Yes</x:v>
      </x:c>
    </x:row>
    <x:row r="340">
      <x:c r="A340" s="41" t="str">
        <x:v>PM1036</x:v>
      </x:c>
      <x:c r="B340" s="41" t="str">
        <x:v>TPU Dumbbell Set - 2.5kg–25 kg</x:v>
      </x:c>
      <x:c r="C340" s="41" t="str">
        <x:v>Weights</x:v>
      </x:c>
      <x:c r="D340" s="41" t="str">
        <x:v>Premier</x:v>
      </x:c>
      <x:c r="E340" s="41" t="str">
        <x:v>17</x:v>
      </x:c>
      <x:c r="F340" s="42" t="n">
        <x:v>5000</x:v>
      </x:c>
      <x:c r="G340" s="41" t="str">
        <x:v>Nos</x:v>
      </x:c>
      <x:c r="H340" s="41" t="n">
        <x:v>0</x:v>
      </x:c>
      <x:c r="I340" s="41" t="str">
        <x:v>2.5–25 kg; 275 kg total</x:v>
      </x:c>
      <x:c r="J340" s="41" t="str">
        <x:v>Yes</x:v>
      </x:c>
      <x:c r="K340" s="41" t="str">
        <x:v>Yes</x:v>
      </x:c>
    </x:row>
    <x:row r="341">
      <x:c r="A341" s="41" t="str">
        <x:v>PM1012</x:v>
      </x:c>
      <x:c r="B341" s="41" t="str">
        <x:v>Rubber Dumbbell Set - 2.5kg–25 kg</x:v>
      </x:c>
      <x:c r="C341" s="41" t="str">
        <x:v>Weights</x:v>
      </x:c>
      <x:c r="D341" s="41" t="str">
        <x:v>Premier</x:v>
      </x:c>
      <x:c r="E341" s="41" t="str">
        <x:v>17</x:v>
      </x:c>
      <x:c r="F341" s="42" t="n">
        <x:v>4000</x:v>
      </x:c>
      <x:c r="G341" s="41" t="str">
        <x:v>Nos</x:v>
      </x:c>
      <x:c r="H341" s="41" t="n">
        <x:v>0</x:v>
      </x:c>
      <x:c r="I341" s="41" t="str">
        <x:v>2.5–25 kg; 275 kg total</x:v>
      </x:c>
      <x:c r="J341" s="41" t="str">
        <x:v>Yes</x:v>
      </x:c>
      <x:c r="K341" s="41" t="str">
        <x:v>Yes</x:v>
      </x:c>
    </x:row>
    <x:row r="342">
      <x:c r="A342" s="41" t="str">
        <x:v>PM1036G-50</x:v>
      </x:c>
      <x:c r="B342" s="41" t="str">
        <x:v>TPU Dumbbell Set - 2.5kg–50 kg</x:v>
      </x:c>
      <x:c r="C342" s="41" t="str">
        <x:v>Weights</x:v>
      </x:c>
      <x:c r="D342" s="41" t="str">
        <x:v>Premier</x:v>
      </x:c>
      <x:c r="E342" s="41" t="str">
        <x:v>17</x:v>
      </x:c>
      <x:c r="F342" s="42" t="n">
        <x:v>14500</x:v>
      </x:c>
      <x:c r="G342" s="41" t="str">
        <x:v>Nos</x:v>
      </x:c>
      <x:c r="H342" s="41" t="n">
        <x:v>0</x:v>
      </x:c>
      <x:c r="I342" s="41" t="str">
        <x:v>2.5–50 kg; 1,050 kg total</x:v>
      </x:c>
      <x:c r="J342" s="41" t="str">
        <x:v>Yes</x:v>
      </x:c>
      <x:c r="K342" s="41" t="str">
        <x:v>Yes</x:v>
      </x:c>
    </x:row>
    <x:row r="343">
      <x:c r="A343" s="41" t="str">
        <x:v>PM1012A-50</x:v>
      </x:c>
      <x:c r="B343" s="41" t="str">
        <x:v>Rubber Dumbbell Set - 2.5kg–50 kg</x:v>
      </x:c>
      <x:c r="C343" s="41" t="str">
        <x:v>Weights</x:v>
      </x:c>
      <x:c r="D343" s="41" t="str">
        <x:v>Premier</x:v>
      </x:c>
      <x:c r="E343" s="41" t="str">
        <x:v>17</x:v>
      </x:c>
      <x:c r="F343" s="42" t="n">
        <x:v>13500</x:v>
      </x:c>
      <x:c r="G343" s="41" t="str">
        <x:v>Nos</x:v>
      </x:c>
      <x:c r="H343" s="41" t="n">
        <x:v>0</x:v>
      </x:c>
      <x:c r="I343" s="41" t="str">
        <x:v>2.5–50 kg; 1,050 kg total</x:v>
      </x:c>
      <x:c r="J343" s="41" t="str">
        <x:v>Yes</x:v>
      </x:c>
      <x:c r="K343" s="41" t="str">
        <x:v>Yes</x:v>
      </x:c>
    </x:row>
    <x:row r="344">
      <x:c r="A344" s="41" t="str">
        <x:v>PM1012A</x:v>
      </x:c>
      <x:c r="B344" s="41" t="str">
        <x:v>Rubber Dumbbell Set - 2.5kg–50 kg</x:v>
      </x:c>
      <x:c r="C344" s="41" t="str">
        <x:v>Weights</x:v>
      </x:c>
      <x:c r="D344" s="41" t="str">
        <x:v>Premier</x:v>
      </x:c>
      <x:c r="E344" s="41" t="str">
        <x:v>17</x:v>
      </x:c>
      <x:c r="F344" s="42" t="n">
        <x:v>3800</x:v>
      </x:c>
      <x:c r="G344" s="41" t="str">
        <x:v>Nos</x:v>
      </x:c>
      <x:c r="H344" s="41" t="n">
        <x:v>0</x:v>
      </x:c>
      <x:c r="I344" s="41" t="str">
        <x:v>2.5–25 kg; 275 kg total</x:v>
      </x:c>
      <x:c r="J344" s="41" t="str">
        <x:v>Yes</x:v>
      </x:c>
      <x:c r="K344" s="41" t="str">
        <x:v>Yes</x:v>
      </x:c>
    </x:row>
    <x:row r="345">
      <x:c r="A345" s="41" t="str">
        <x:v>PM1036G</x:v>
      </x:c>
      <x:c r="B345" s="41" t="str">
        <x:v>TPU Dumbbell Set - 2.5kg–50 kg</x:v>
      </x:c>
      <x:c r="C345" s="41" t="str">
        <x:v>Weights</x:v>
      </x:c>
      <x:c r="D345" s="41" t="str">
        <x:v>Premier</x:v>
      </x:c>
      <x:c r="E345" s="41" t="str">
        <x:v>17</x:v>
      </x:c>
      <x:c r="F345" s="42" t="n">
        <x:v>5000</x:v>
      </x:c>
      <x:c r="G345" s="41" t="str">
        <x:v>Nos</x:v>
      </x:c>
      <x:c r="H345" s="41" t="n">
        <x:v>0</x:v>
      </x:c>
      <x:c r="I345" s="41" t="str">
        <x:v>2.5–25 kg; 275 kg total</x:v>
      </x:c>
      <x:c r="J345" s="41" t="str">
        <x:v>Yes</x:v>
      </x:c>
      <x:c r="K345" s="41" t="str">
        <x:v>Yes</x:v>
      </x:c>
    </x:row>
    <x:row r="346">
      <x:c r="A346" s="41" t="str">
        <x:v>TQL75</x:v>
      </x:c>
      <x:c r="B346" s="41" t="str">
        <x:v>Adjustable Abdominal Bench</x:v>
      </x:c>
      <x:c r="C346" s="41" t="str">
        <x:v>Strength</x:v>
      </x:c>
      <x:c r="D346" s="41" t="str">
        <x:v>Premier</x:v>
      </x:c>
      <x:c r="E346" s="41" t="str">
        <x:v>17</x:v>
      </x:c>
      <x:c r="F346" s="42" t="n">
        <x:v>1810</x:v>
      </x:c>
      <x:c r="G346" s="41" t="str">
        <x:v>Nos</x:v>
      </x:c>
      <x:c r="H346" s="41" t="n">
        <x:v>0</x:v>
      </x:c>
      <x:c r="I346" s="41" t="str">
        <x:v>Dimension 1660×670×770mm
Net Weight: 48kg
10 years frame warranty</x:v>
      </x:c>
      <x:c r="J346" s="41" t="str">
        <x:v>Yes</x:v>
      </x:c>
      <x:c r="K346" s="41" t="str">
        <x:v>Yes</x:v>
      </x:c>
    </x:row>
    <x:row r="347">
      <x:c r="A347" s="41" t="str">
        <x:v>TQL60</x:v>
      </x:c>
      <x:c r="B347" s="41" t="str">
        <x:v>Tank Machine</x:v>
      </x:c>
      <x:c r="C347" s="41" t="str">
        <x:v>Strength</x:v>
      </x:c>
      <x:c r="D347" s="41" t="str">
        <x:v>Premier</x:v>
      </x:c>
      <x:c r="E347" s="41" t="str">
        <x:v>17</x:v>
      </x:c>
      <x:c r="F347" s="42" t="n">
        <x:v>4190</x:v>
      </x:c>
      <x:c r="G347" s="41" t="str">
        <x:v>Nos</x:v>
      </x:c>
      <x:c r="H347" s="41" t="n">
        <x:v>0</x:v>
      </x:c>
      <x:c r="I347" s="41" t="str">
        <x:v>Dimension 1315×850×1040mm | Max loading: 200kg 8 levels of resistance adjustment
Net Weight: 86kg
10 years frame warranty</x:v>
      </x:c>
      <x:c r="J347" s="41" t="str">
        <x:v>Yes</x:v>
      </x:c>
      <x:c r="K347" s="41" t="str">
        <x:v>Yes</x:v>
      </x:c>
    </x:row>
    <x:row r="348">
      <x:c r="A348" s="41" t="str">
        <x:v>TQL40</x:v>
      </x:c>
      <x:c r="B348" s="41" t="str">
        <x:v>Super Squat</x:v>
      </x:c>
      <x:c r="C348" s="41" t="str">
        <x:v>Strength</x:v>
      </x:c>
      <x:c r="D348" s="41" t="str">
        <x:v>Premier</x:v>
      </x:c>
      <x:c r="E348" s="41" t="str">
        <x:v>17</x:v>
      </x:c>
      <x:c r="F348" s="42" t="n">
        <x:v>5200</x:v>
      </x:c>
      <x:c r="G348" s="41" t="str">
        <x:v>Nos</x:v>
      </x:c>
      <x:c r="H348" s="41" t="n">
        <x:v>0</x:v>
      </x:c>
      <x:c r="I348" s="41" t="str">
        <x:v>Dimension 1990×1640×1450mm
Net Weight: 196kg
10 years frame warranty</x:v>
      </x:c>
      <x:c r="J348" s="41" t="str">
        <x:v>Yes</x:v>
      </x:c>
      <x:c r="K348" s="41" t="str">
        <x:v>Yes</x:v>
      </x:c>
    </x:row>
    <x:row r="349">
      <x:c r="A349" s="41" t="str">
        <x:v>TQL58</x:v>
      </x:c>
      <x:c r="B349" s="41" t="str">
        <x:v>Tyre Machine</x:v>
      </x:c>
      <x:c r="C349" s="41" t="str">
        <x:v>Strength</x:v>
      </x:c>
      <x:c r="D349" s="41" t="str">
        <x:v>Premier</x:v>
      </x:c>
      <x:c r="E349" s="41" t="str">
        <x:v>17</x:v>
      </x:c>
      <x:c r="F349" s="42" t="n">
        <x:v>4190</x:v>
      </x:c>
      <x:c r="G349" s="41" t="str">
        <x:v>Nos</x:v>
      </x:c>
      <x:c r="H349" s="41" t="n">
        <x:v>0</x:v>
      </x:c>
      <x:c r="I349" s="41" t="str">
        <x:v>Dimension 1640×1240×600mm
Net Weight: 142kg
10 years frame warranty</x:v>
      </x:c>
      <x:c r="J349" s="41" t="str">
        <x:v>Yes</x:v>
      </x:c>
      <x:c r="K349" s="41" t="str">
        <x:v>Yes</x:v>
      </x:c>
    </x:row>
    <x:row r="350">
      <x:c r="A350" s="41" t="str">
        <x:v>TQL55</x:v>
      </x:c>
      <x:c r="B350" s="41" t="str">
        <x:v>Chin Up</x:v>
      </x:c>
      <x:c r="C350" s="41" t="str">
        <x:v>Strength</x:v>
      </x:c>
      <x:c r="D350" s="41" t="str">
        <x:v>Premier</x:v>
      </x:c>
      <x:c r="E350" s="41" t="str">
        <x:v>17</x:v>
      </x:c>
      <x:c r="F350" s="42" t="n">
        <x:v>2880</x:v>
      </x:c>
      <x:c r="G350" s="41" t="str">
        <x:v>Nos</x:v>
      </x:c>
      <x:c r="H350" s="41" t="n">
        <x:v>0</x:v>
      </x:c>
      <x:c r="I350" s="41" t="str">
        <x:v>Dimension: 1240×1210×2290mm
Net Weight:69kg
10 years frame warranty</x:v>
      </x:c>
      <x:c r="J350" s="41" t="str">
        <x:v>Yes</x:v>
      </x:c>
      <x:c r="K350" s="41" t="str">
        <x:v>Yes</x:v>
      </x:c>
    </x:row>
    <x:row r="351">
      <x:c r="A351" s="41" t="str">
        <x:v>TQL50</x:v>
      </x:c>
      <x:c r="B351" s="41" t="str">
        <x:v>Stand Torso</x:v>
      </x:c>
      <x:c r="C351" s="41" t="str">
        <x:v>Strength</x:v>
      </x:c>
      <x:c r="D351" s="41" t="str">
        <x:v>Premier</x:v>
      </x:c>
      <x:c r="E351" s="41" t="str">
        <x:v>17</x:v>
      </x:c>
      <x:c r="F351" s="42" t="n">
        <x:v>1190</x:v>
      </x:c>
      <x:c r="G351" s="41" t="str">
        <x:v>Nos</x:v>
      </x:c>
      <x:c r="H351" s="41" t="n">
        <x:v>0</x:v>
      </x:c>
      <x:c r="I351" s="41" t="str">
        <x:v>Dimension: 740×550×1370mm
Net Weight:21kg
10 years frame warranty</x:v>
      </x:c>
      <x:c r="J351" s="41" t="str">
        <x:v>Yes</x:v>
      </x:c>
      <x:c r="K351" s="41" t="str">
        <x:v>Yes</x:v>
      </x:c>
    </x:row>
    <x:row r="352">
      <x:c r="A352" s="41" t="str">
        <x:v>TQL79</x:v>
      </x:c>
      <x:c r="B352" s="41" t="str">
        <x:v>Draw Muscle Machine (Stretch Trainer)</x:v>
      </x:c>
      <x:c r="C352" s="41" t="str">
        <x:v>Strength</x:v>
      </x:c>
      <x:c r="D352" s="41" t="str">
        <x:v>Premier</x:v>
      </x:c>
      <x:c r="E352" s="41" t="str">
        <x:v>17</x:v>
      </x:c>
      <x:c r="F352" s="42" t="n">
        <x:v>2040</x:v>
      </x:c>
      <x:c r="G352" s="41" t="str">
        <x:v>Nos</x:v>
      </x:c>
      <x:c r="H352" s="41" t="n">
        <x:v>0</x:v>
      </x:c>
      <x:c r="I352" s="41" t="str">
        <x:v>Dimension: 1450×520×1150mm
Net Weight:46kg
10 years frame warranty</x:v>
      </x:c>
      <x:c r="J352" s="41" t="str">
        <x:v>Yes</x:v>
      </x:c>
      <x:c r="K352" s="41" t="str">
        <x:v>Yes</x:v>
      </x:c>
    </x:row>
    <x:row r="353">
      <x:c r="A353" s="41" t="str">
        <x:v>TQL47</x:v>
      </x:c>
      <x:c r="B353" s="41" t="str">
        <x:v>Crossfit Rack</x:v>
      </x:c>
      <x:c r="C353" s="41" t="str">
        <x:v>Strength</x:v>
      </x:c>
      <x:c r="D353" s="41" t="str">
        <x:v>Premier</x:v>
      </x:c>
      <x:c r="E353" s="41" t="str">
        <x:v>17</x:v>
      </x:c>
      <x:c r="F353" s="42" t="n">
        <x:v>6220</x:v>
      </x:c>
      <x:c r="G353" s="41" t="str">
        <x:v>Nos</x:v>
      </x:c>
      <x:c r="H353" s="41" t="n">
        <x:v>0</x:v>
      </x:c>
      <x:c r="I353" s="41" t="str">
        <x:v>Dimension:2440×1900×2440mm
Net Weight: 166kg
10 years frame warranty</x:v>
      </x:c>
      <x:c r="J353" s="41" t="str">
        <x:v>Yes</x:v>
      </x:c>
      <x:c r="K353" s="41" t="str">
        <x:v>Yes</x:v>
      </x:c>
    </x:row>
    <x:row r="354">
      <x:c r="A354" s="41" t="str">
        <x:v>TQL36</x:v>
      </x:c>
      <x:c r="B354" s="41" t="str">
        <x:v>Roger Supper Vertical Leg Press</x:v>
      </x:c>
      <x:c r="C354" s="41" t="str">
        <x:v>Strength</x:v>
      </x:c>
      <x:c r="D354" s="41" t="str">
        <x:v>Premier</x:v>
      </x:c>
      <x:c r="E354" s="41" t="str">
        <x:v>17</x:v>
      </x:c>
      <x:c r="F354" s="42" t="n">
        <x:v>4810</x:v>
      </x:c>
      <x:c r="G354" s="41" t="str">
        <x:v>Nos</x:v>
      </x:c>
      <x:c r="H354" s="41" t="n">
        <x:v>0</x:v>
      </x:c>
      <x:c r="I354" s="41" t="str">
        <x:v>Dimension: 1480×1630×1810mm
Net Weight:175kg
10 years frame warranty</x:v>
      </x:c>
      <x:c r="J354" s="41" t="str">
        <x:v>Yes</x:v>
      </x:c>
      <x:c r="K354" s="41" t="str">
        <x:v>Yes</x:v>
      </x:c>
    </x:row>
    <x:row r="355">
      <x:c r="A355" s="41" t="str">
        <x:v>TQL52</x:v>
      </x:c>
      <x:c r="B355" s="41" t="str">
        <x:v>Seated Preacher Curl</x:v>
      </x:c>
      <x:c r="C355" s="41" t="str">
        <x:v>Strength</x:v>
      </x:c>
      <x:c r="D355" s="41" t="str">
        <x:v>Premier</x:v>
      </x:c>
      <x:c r="E355" s="41" t="str">
        <x:v>17</x:v>
      </x:c>
      <x:c r="F355" s="42" t="n">
        <x:v>2550</x:v>
      </x:c>
      <x:c r="G355" s="41" t="str">
        <x:v>Nos</x:v>
      </x:c>
      <x:c r="H355" s="41" t="n">
        <x:v>0</x:v>
      </x:c>
      <x:c r="I355" s="41" t="str">
        <x:v>Dimension: 1310×960×810mm
Net Weight: 55kg
10 years frame warranty</x:v>
      </x:c>
      <x:c r="J355" s="41" t="str">
        <x:v>Yes</x:v>
      </x:c>
      <x:c r="K355" s="41" t="str">
        <x:v>Yes</x:v>
      </x:c>
    </x:row>
    <x:row r="356">
      <x:c r="A356" s="41" t="str">
        <x:v>TQL46</x:v>
      </x:c>
      <x:c r="B356" s="41" t="str">
        <x:v>Crossfit Rack</x:v>
      </x:c>
      <x:c r="C356" s="41" t="str">
        <x:v>Strength</x:v>
      </x:c>
      <x:c r="D356" s="41" t="str">
        <x:v>Premier</x:v>
      </x:c>
      <x:c r="E356" s="41" t="str">
        <x:v>17</x:v>
      </x:c>
      <x:c r="F356" s="42" t="n">
        <x:v>11310</x:v>
      </x:c>
      <x:c r="G356" s="41" t="str">
        <x:v>Nos</x:v>
      </x:c>
      <x:c r="H356" s="41" t="n">
        <x:v>0</x:v>
      </x:c>
      <x:c r="I356" s="41" t="str">
        <x:v>Dimension: 4900×3400×3140/4050mm
Net Weight: 786kg
10 years frame warranty</x:v>
      </x:c>
      <x:c r="J356" s="41" t="str">
        <x:v>Yes</x:v>
      </x:c>
      <x:c r="K356" s="41" t="str">
        <x:v>Yes</x:v>
      </x:c>
    </x:row>
    <x:row r="357">
      <x:c r="A357" s="41" t="str">
        <x:v>TQL73</x:v>
      </x:c>
      <x:c r="B357" s="41" t="str">
        <x:v>Adjustable Bench</x:v>
      </x:c>
      <x:c r="C357" s="41" t="str">
        <x:v>Strength</x:v>
      </x:c>
      <x:c r="D357" s="41" t="str">
        <x:v>Premier</x:v>
      </x:c>
      <x:c r="E357" s="41" t="str">
        <x:v>17</x:v>
      </x:c>
      <x:c r="F357" s="42" t="n">
        <x:v>1810</x:v>
      </x:c>
      <x:c r="G357" s="41" t="str">
        <x:v>Nos</x:v>
      </x:c>
      <x:c r="H357" s="41" t="n">
        <x:v>0</x:v>
      </x:c>
      <x:c r="I357" s="41" t="str">
        <x:v>Dimension 1304x 745x460mm
Net Weight: 45kg
10 years frame warranty</x:v>
      </x:c>
      <x:c r="J357" s="41" t="str">
        <x:v>Yes</x:v>
      </x:c>
      <x:c r="K357" s="41" t="str">
        <x:v>Yes</x:v>
      </x:c>
    </x:row>
    <x:row r="358">
      <x:c r="A358" s="41" t="str">
        <x:v>TQL45</x:v>
      </x:c>
      <x:c r="B358" s="41" t="str">
        <x:v>Multi Functional Trainer</x:v>
      </x:c>
      <x:c r="C358" s="41" t="str">
        <x:v>Strength</x:v>
      </x:c>
      <x:c r="D358" s="41" t="str">
        <x:v>Premier</x:v>
      </x:c>
      <x:c r="E358" s="41" t="str">
        <x:v>17</x:v>
      </x:c>
      <x:c r="F358" s="42" t="n">
        <x:v>9620</x:v>
      </x:c>
      <x:c r="G358" s="41" t="str">
        <x:v>Nos</x:v>
      </x:c>
      <x:c r="H358" s="41" t="n">
        <x:v>0</x:v>
      </x:c>
      <x:c r="I358" s="41" t="str">
        <x:v>Dimension: 2100×1900×2440mm | Weight Stack:75kg×2
Net Weight: 406kg
10 years frame warranty</x:v>
      </x:c>
      <x:c r="J358" s="41" t="str">
        <x:v>Yes</x:v>
      </x:c>
      <x:c r="K358" s="41" t="str">
        <x:v>Yes</x:v>
      </x:c>
    </x:row>
    <x:row r="359">
      <x:c r="A359" s="41" t="str">
        <x:v>TQL44</x:v>
      </x:c>
      <x:c r="B359" s="41" t="str">
        <x:v>Squat Trainer</x:v>
      </x:c>
      <x:c r="C359" s="41" t="str">
        <x:v>Strength</x:v>
      </x:c>
      <x:c r="D359" s="41" t="str">
        <x:v>Premier</x:v>
      </x:c>
      <x:c r="E359" s="41" t="str">
        <x:v>17</x:v>
      </x:c>
      <x:c r="F359" s="42" t="n">
        <x:v>6620</x:v>
      </x:c>
      <x:c r="G359" s="41" t="str">
        <x:v>Nos</x:v>
      </x:c>
      <x:c r="H359" s="41" t="n">
        <x:v>0</x:v>
      </x:c>
      <x:c r="I359" s="41" t="str">
        <x:v>Dimension: 1980×2840×2540mm
Net Weight:220kg
10 years frame warranty</x:v>
      </x:c>
      <x:c r="J359" s="41" t="str">
        <x:v>Yes</x:v>
      </x:c>
      <x:c r="K359" s="41" t="str">
        <x:v>Yes</x:v>
      </x:c>
    </x:row>
    <x:row r="360">
      <x:c r="A360" s="41" t="str">
        <x:v>TQL38</x:v>
      </x:c>
      <x:c r="B360" s="41" t="str">
        <x:v>Pull Down</x:v>
      </x:c>
      <x:c r="C360" s="41" t="str">
        <x:v>Strength</x:v>
      </x:c>
      <x:c r="D360" s="41" t="str">
        <x:v>Premier</x:v>
      </x:c>
      <x:c r="E360" s="41" t="str">
        <x:v>17</x:v>
      </x:c>
      <x:c r="F360" s="42" t="n">
        <x:v>4470</x:v>
      </x:c>
      <x:c r="G360" s="41" t="str">
        <x:v>Nos</x:v>
      </x:c>
      <x:c r="H360" s="41" t="n">
        <x:v>0</x:v>
      </x:c>
      <x:c r="I360" s="41" t="str">
        <x:v>Dimension: 1620×1190×2000mm
Net Weight:133kg
10 years frame warranty</x:v>
      </x:c>
      <x:c r="J360" s="41" t="str">
        <x:v>Yes</x:v>
      </x:c>
      <x:c r="K360" s="41" t="str">
        <x:v>Yes</x:v>
      </x:c>
    </x:row>
    <x:row r="361">
      <x:c r="A361" s="41" t="str">
        <x:v>TQL69</x:v>
      </x:c>
      <x:c r="B361" s="41" t="str">
        <x:v>Flat Bench</x:v>
      </x:c>
      <x:c r="C361" s="41" t="str">
        <x:v>Strength</x:v>
      </x:c>
      <x:c r="D361" s="41" t="str">
        <x:v>Premier</x:v>
      </x:c>
      <x:c r="E361" s="41" t="str">
        <x:v>17</x:v>
      </x:c>
      <x:c r="F361" s="42" t="n">
        <x:v>960</x:v>
      </x:c>
      <x:c r="G361" s="41" t="str">
        <x:v>Nos</x:v>
      </x:c>
      <x:c r="H361" s="41" t="n">
        <x:v>0</x:v>
      </x:c>
      <x:c r="I361" s="41" t="str">
        <x:v>Dimension: 1270×470×410mm
Net Weight:22kg
10 years frame warranty</x:v>
      </x:c>
      <x:c r="J361" s="41" t="str">
        <x:v>Yes</x:v>
      </x:c>
      <x:c r="K361" s="41" t="str">
        <x:v>Yes</x:v>
      </x:c>
    </x:row>
    <x:row r="362">
      <x:c r="A362" s="41" t="str">
        <x:v>TQL62</x:v>
      </x:c>
      <x:c r="B362" s="41" t="str">
        <x:v>Olympic Squat Rack</x:v>
      </x:c>
      <x:c r="C362" s="41" t="str">
        <x:v>Strength</x:v>
      </x:c>
      <x:c r="D362" s="41" t="str">
        <x:v>Premier</x:v>
      </x:c>
      <x:c r="E362" s="41" t="str">
        <x:v>17</x:v>
      </x:c>
      <x:c r="F362" s="42" t="n">
        <x:v>2770</x:v>
      </x:c>
      <x:c r="G362" s="41" t="str">
        <x:v>Nos</x:v>
      </x:c>
      <x:c r="H362" s="41" t="n">
        <x:v>0</x:v>
      </x:c>
      <x:c r="I362" s="41" t="str">
        <x:v>Dimension: 1800×1700×1860mm
Net Weight:110kg
10 years frame warranty</x:v>
      </x:c>
      <x:c r="J362" s="41" t="str">
        <x:v>Yes</x:v>
      </x:c>
      <x:c r="K362" s="41" t="str">
        <x:v>Yes</x:v>
      </x:c>
    </x:row>
    <x:row r="363">
      <x:c r="A363" s="41" t="str">
        <x:v>TQL37</x:v>
      </x:c>
      <x:c r="B363" s="41" t="str">
        <x:v>Squat Trainer</x:v>
      </x:c>
      <x:c r="C363" s="41" t="str">
        <x:v>Strength</x:v>
      </x:c>
      <x:c r="D363" s="41" t="str">
        <x:v>Premier</x:v>
      </x:c>
      <x:c r="E363" s="41" t="str">
        <x:v>17</x:v>
      </x:c>
      <x:c r="F363" s="42" t="n">
        <x:v>7070</x:v>
      </x:c>
      <x:c r="G363" s="41" t="str">
        <x:v>Nos</x:v>
      </x:c>
      <x:c r="H363" s="41" t="n">
        <x:v>0</x:v>
      </x:c>
      <x:c r="I363" s="41" t="str">
        <x:v>Dimension: 1850×1580×1540mm
Net Weight:205kg
10 years frame warranty</x:v>
      </x:c>
      <x:c r="J363" s="41" t="str">
        <x:v>Yes</x:v>
      </x:c>
      <x:c r="K363" s="41" t="str">
        <x:v>Yes</x:v>
      </x:c>
    </x:row>
    <x:row r="364">
      <x:c r="A364" s="41" t="str">
        <x:v>TQL41</x:v>
      </x:c>
      <x:c r="B364" s="41" t="str">
        <x:v>Power Rack</x:v>
      </x:c>
      <x:c r="C364" s="41" t="str">
        <x:v>Strength</x:v>
      </x:c>
      <x:c r="D364" s="41" t="str">
        <x:v>Premier</x:v>
      </x:c>
      <x:c r="E364" s="41" t="str">
        <x:v>17</x:v>
      </x:c>
      <x:c r="F364" s="42" t="n">
        <x:v>4750</x:v>
      </x:c>
      <x:c r="G364" s="41" t="str">
        <x:v>Nos</x:v>
      </x:c>
      <x:c r="H364" s="41" t="n">
        <x:v>0</x:v>
      </x:c>
      <x:c r="I364" s="41" t="str">
        <x:v>Dimension 1610x1780x2410
Net Weight: 148kg
10 years frame warranty</x:v>
      </x:c>
      <x:c r="J364" s="41" t="str">
        <x:v>Yes</x:v>
      </x:c>
      <x:c r="K364" s="41" t="str">
        <x:v>Yes</x:v>
      </x:c>
    </x:row>
    <x:row r="365">
      <x:c r="A365" s="41" t="str">
        <x:v>TQL78</x:v>
      </x:c>
      <x:c r="B365" s="41" t="str">
        <x:v>Flat / Incline / Decline Bench Press</x:v>
      </x:c>
      <x:c r="C365" s="41" t="str">
        <x:v>Strength</x:v>
      </x:c>
      <x:c r="D365" s="41" t="str">
        <x:v>Premier</x:v>
      </x:c>
      <x:c r="E365" s="41" t="str">
        <x:v>17</x:v>
      </x:c>
      <x:c r="F365" s="42" t="n">
        <x:v>3510</x:v>
      </x:c>
      <x:c r="G365" s="41" t="str">
        <x:v>Nos</x:v>
      </x:c>
      <x:c r="H365" s="41" t="n">
        <x:v>0</x:v>
      </x:c>
      <x:c r="I365" s="41" t="str">
        <x:v>Dimension: 1040×1770×1390 / 1600×760×580mm
Net Weight:140kg
10 years frame warranty</x:v>
      </x:c>
      <x:c r="J365" s="41" t="str">
        <x:v>Yes</x:v>
      </x:c>
      <x:c r="K365" s="41" t="str">
        <x:v>Yes</x:v>
      </x:c>
    </x:row>
    <x:row r="366">
      <x:c r="A366" s="41" t="str">
        <x:v>TQL59</x:v>
      </x:c>
      <x:c r="B366" s="41" t="str">
        <x:v>Horizontal Roman Chair (GHD)</x:v>
      </x:c>
      <x:c r="C366" s="41" t="str">
        <x:v>Strength</x:v>
      </x:c>
      <x:c r="D366" s="41" t="str">
        <x:v>Premier</x:v>
      </x:c>
      <x:c r="E366" s="41" t="str">
        <x:v>17</x:v>
      </x:c>
      <x:c r="F366" s="42" t="n">
        <x:v>2260</x:v>
      </x:c>
      <x:c r="G366" s="41" t="str">
        <x:v>Nos</x:v>
      </x:c>
      <x:c r="H366" s="41" t="n">
        <x:v>0</x:v>
      </x:c>
      <x:c r="I366" s="41" t="str">
        <x:v>Dimension 1600×920×980mm
Net Weight: 70kg
10 years frame warranty</x:v>
      </x:c>
      <x:c r="J366" s="41" t="str">
        <x:v>Yes</x:v>
      </x:c>
      <x:c r="K366" s="41" t="str">
        <x:v>Yes</x:v>
      </x:c>
    </x:row>
    <x:row r="367">
      <x:c r="A367" s="41" t="str">
        <x:v>TQL56</x:v>
      </x:c>
      <x:c r="B367" s="41" t="str">
        <x:v>Incline Level Row</x:v>
      </x:c>
      <x:c r="C367" s="41" t="str">
        <x:v>Strength</x:v>
      </x:c>
      <x:c r="D367" s="41" t="str">
        <x:v>Premier</x:v>
      </x:c>
      <x:c r="E367" s="41" t="str">
        <x:v>17</x:v>
      </x:c>
      <x:c r="F367" s="42" t="n">
        <x:v>2040</x:v>
      </x:c>
      <x:c r="G367" s="41" t="str">
        <x:v>Nos</x:v>
      </x:c>
      <x:c r="H367" s="41" t="n">
        <x:v>0</x:v>
      </x:c>
      <x:c r="I367" s="41" t="str">
        <x:v>Dimension 1800×1000×1160mm
Net Weight: 60kg
10 years frame warranty</x:v>
      </x:c>
      <x:c r="J367" s="41" t="str">
        <x:v>Yes</x:v>
      </x:c>
      <x:c r="K367" s="41" t="str">
        <x:v>Yes</x:v>
      </x:c>
    </x:row>
    <x:row r="368">
      <x:c r="A368" s="41" t="str">
        <x:v>TQL54</x:v>
      </x:c>
      <x:c r="B368" s="41" t="str">
        <x:v>Vertical Kness Up/Dip</x:v>
      </x:c>
      <x:c r="C368" s="41" t="str">
        <x:v>Strength</x:v>
      </x:c>
      <x:c r="D368" s="41" t="str">
        <x:v>Premier</x:v>
      </x:c>
      <x:c r="E368" s="41" t="str">
        <x:v>17</x:v>
      </x:c>
      <x:c r="F368" s="42" t="n">
        <x:v>2550</x:v>
      </x:c>
      <x:c r="G368" s="41" t="str">
        <x:v>Nos</x:v>
      </x:c>
      <x:c r="H368" s="41" t="n">
        <x:v>0</x:v>
      </x:c>
      <x:c r="I368" s="41" t="str">
        <x:v>Dimension: 1170x750x1600mm
Net Weight: 69kg
10 years frame warranty</x:v>
      </x:c>
      <x:c r="J368" s="41" t="str">
        <x:v>Yes</x:v>
      </x:c>
      <x:c r="K368" s="41" t="str">
        <x:v>Yes</x:v>
      </x:c>
    </x:row>
    <x:row r="369">
      <x:c r="A369" s="41" t="str">
        <x:v>TQL70</x:v>
      </x:c>
      <x:c r="B369" s="41" t="str">
        <x:v>Adjustable Bench</x:v>
      </x:c>
      <x:c r="C369" s="41" t="str">
        <x:v>Strength</x:v>
      </x:c>
      <x:c r="D369" s="41" t="str">
        <x:v>Premier</x:v>
      </x:c>
      <x:c r="E369" s="41" t="str">
        <x:v>17</x:v>
      </x:c>
      <x:c r="F369" s="42" t="n">
        <x:v>1020</x:v>
      </x:c>
      <x:c r="G369" s="41" t="str">
        <x:v>Nos</x:v>
      </x:c>
      <x:c r="H369" s="41" t="n">
        <x:v>0</x:v>
      </x:c>
      <x:c r="I369" s="41" t="str">
        <x:v>Dimension 1240x 550x500mm
Net Weight: 28kg
10 years frame warranty</x:v>
      </x:c>
      <x:c r="J369" s="41" t="str">
        <x:v>Yes</x:v>
      </x:c>
      <x:c r="K369" s="41" t="str">
        <x:v>Yes</x:v>
      </x:c>
    </x:row>
    <x:row r="370">
      <x:c r="A370" s="41" t="str">
        <x:v>TQL51</x:v>
      </x:c>
      <x:c r="B370" s="41" t="str">
        <x:v>Torso Machine</x:v>
      </x:c>
      <x:c r="C370" s="41" t="str">
        <x:v>Strength</x:v>
      </x:c>
      <x:c r="D370" s="41" t="str">
        <x:v>Premier</x:v>
      </x:c>
      <x:c r="E370" s="41" t="str">
        <x:v>17</x:v>
      </x:c>
      <x:c r="F370" s="42" t="n">
        <x:v>1750</x:v>
      </x:c>
      <x:c r="G370" s="41" t="str">
        <x:v>Nos</x:v>
      </x:c>
      <x:c r="H370" s="41" t="n">
        <x:v>0</x:v>
      </x:c>
      <x:c r="I370" s="41" t="str">
        <x:v>Dimension: 1720×490×1270mm
Net Weight:39kg
10 years frame warranty</x:v>
      </x:c>
      <x:c r="J370" s="41" t="str">
        <x:v>Yes</x:v>
      </x:c>
      <x:c r="K370" s="41" t="str">
        <x:v>Yes</x:v>
      </x:c>
    </x:row>
    <x:row r="371">
      <x:c r="A371" s="41" t="str">
        <x:v>TQL74</x:v>
      </x:c>
      <x:c r="B371" s="41" t="str">
        <x:v>Adjustable Bench</x:v>
      </x:c>
      <x:c r="C371" s="41" t="str">
        <x:v>Strength</x:v>
      </x:c>
      <x:c r="D371" s="41" t="str">
        <x:v>Premier</x:v>
      </x:c>
      <x:c r="E371" s="41" t="str">
        <x:v>17</x:v>
      </x:c>
      <x:c r="F371" s="42" t="n">
        <x:v>2090</x:v>
      </x:c>
      <x:c r="G371" s="41" t="str">
        <x:v>Nos</x:v>
      </x:c>
      <x:c r="H371" s="41" t="n">
        <x:v>0</x:v>
      </x:c>
      <x:c r="I371" s="41" t="str">
        <x:v>Dimension: 1570×570×460mm
Net Weight:58kg
10 years frame warranty</x:v>
      </x:c>
      <x:c r="J371" s="41" t="str">
        <x:v>Yes</x:v>
      </x:c>
      <x:c r="K371" s="41" t="str">
        <x:v>Yes</x:v>
      </x:c>
    </x:row>
    <x:row r="372">
      <x:c r="A372" s="41" t="str">
        <x:v>TQL49</x:v>
      </x:c>
      <x:c r="B372" s="41" t="str">
        <x:v>Abdominal Machine</x:v>
      </x:c>
      <x:c r="C372" s="41" t="str">
        <x:v>Strength</x:v>
      </x:c>
      <x:c r="D372" s="41" t="str">
        <x:v>Premier</x:v>
      </x:c>
      <x:c r="E372" s="41" t="str">
        <x:v>17</x:v>
      </x:c>
      <x:c r="F372" s="42" t="n">
        <x:v>1070</x:v>
      </x:c>
      <x:c r="G372" s="41" t="str">
        <x:v>Nos</x:v>
      </x:c>
      <x:c r="H372" s="41" t="n">
        <x:v>0</x:v>
      </x:c>
      <x:c r="I372" s="41" t="str">
        <x:v>Dimension: 1005×560×510mm
Net Weight:42kg
10 years frame warranty</x:v>
      </x:c>
      <x:c r="J372" s="41" t="str">
        <x:v>Yes</x:v>
      </x:c>
      <x:c r="K372" s="41" t="str">
        <x:v>Yes</x:v>
      </x:c>
    </x:row>
    <x:row r="373">
      <x:c r="A373" s="41" t="str">
        <x:v>TQL77</x:v>
      </x:c>
      <x:c r="B373" s="41" t="str">
        <x:v>75 Degree Incline Bench</x:v>
      </x:c>
      <x:c r="C373" s="41" t="str">
        <x:v>Strength</x:v>
      </x:c>
      <x:c r="D373" s="41" t="str">
        <x:v>Premier</x:v>
      </x:c>
      <x:c r="E373" s="41" t="str">
        <x:v>17</x:v>
      </x:c>
      <x:c r="F373" s="42" t="n">
        <x:v>1190</x:v>
      </x:c>
      <x:c r="G373" s="41" t="str">
        <x:v>Nos</x:v>
      </x:c>
      <x:c r="H373" s="41" t="n">
        <x:v>0</x:v>
      </x:c>
      <x:c r="I373" s="41" t="str">
        <x:v>Dimension: 1250×630×960mm
Net Weight:27kg
10 years frame warranty</x:v>
      </x:c>
      <x:c r="J373" s="41" t="str">
        <x:v>Yes</x:v>
      </x:c>
      <x:c r="K373" s="41" t="str">
        <x:v>Yes</x:v>
      </x:c>
    </x:row>
    <x:row r="374">
      <x:c r="A374" s="41" t="str">
        <x:v>TQL42</x:v>
      </x:c>
      <x:c r="B374" s="41" t="str">
        <x:v>Squat Trainer</x:v>
      </x:c>
      <x:c r="C374" s="41" t="str">
        <x:v>Strength</x:v>
      </x:c>
      <x:c r="D374" s="41" t="str">
        <x:v>Premier</x:v>
      </x:c>
      <x:c r="E374" s="41" t="str">
        <x:v>17</x:v>
      </x:c>
      <x:c r="F374" s="42" t="n">
        <x:v>5260</x:v>
      </x:c>
      <x:c r="G374" s="41" t="str">
        <x:v>Nos</x:v>
      </x:c>
      <x:c r="H374" s="41" t="n">
        <x:v>0</x:v>
      </x:c>
      <x:c r="I374" s="41" t="str">
        <x:v>Dimension: 1520×1400×2570mm
Net Weight:177kg
10 years frame warranty</x:v>
      </x:c>
      <x:c r="J374" s="41" t="str">
        <x:v>Yes</x:v>
      </x:c>
      <x:c r="K374" s="41" t="str">
        <x:v>Yes</x:v>
      </x:c>
    </x:row>
    <x:row r="375">
      <x:c r="A375" s="41" t="str">
        <x:v>TQL72</x:v>
      </x:c>
      <x:c r="B375" s="41" t="str">
        <x:v>Super Bench</x:v>
      </x:c>
      <x:c r="C375" s="41" t="str">
        <x:v>Strength</x:v>
      </x:c>
      <x:c r="D375" s="41" t="str">
        <x:v>Premier</x:v>
      </x:c>
      <x:c r="E375" s="41" t="str">
        <x:v>17</x:v>
      </x:c>
      <x:c r="F375" s="42" t="n">
        <x:v>1700</x:v>
      </x:c>
      <x:c r="G375" s="41" t="str">
        <x:v>Nos</x:v>
      </x:c>
      <x:c r="H375" s="41" t="n">
        <x:v>0</x:v>
      </x:c>
      <x:c r="I375" s="41" t="str">
        <x:v>Dimension 1400×670×440mm
Net Weight: 45kg
10 years frame warranty</x:v>
      </x:c>
      <x:c r="J375" s="41" t="str">
        <x:v>Yes</x:v>
      </x:c>
      <x:c r="K375" s="41" t="str">
        <x:v>Yes</x:v>
      </x:c>
    </x:row>
    <x:row r="376">
      <x:c r="A376" s="41" t="str">
        <x:v>TQL68</x:v>
      </x:c>
      <x:c r="B376" s="41" t="str">
        <x:v>Flat Bench</x:v>
      </x:c>
      <x:c r="C376" s="41" t="str">
        <x:v>Strength</x:v>
      </x:c>
      <x:c r="D376" s="41" t="str">
        <x:v>Premier</x:v>
      </x:c>
      <x:c r="E376" s="41" t="str">
        <x:v>17</x:v>
      </x:c>
      <x:c r="F376" s="42" t="n">
        <x:v>790</x:v>
      </x:c>
      <x:c r="G376" s="41" t="str">
        <x:v>Nos</x:v>
      </x:c>
      <x:c r="H376" s="41" t="n">
        <x:v>0</x:v>
      </x:c>
      <x:c r="I376" s="41" t="str">
        <x:v>Dimension 1420×570×430mm
Net Weight: 36kg
10 years frame warranty</x:v>
      </x:c>
      <x:c r="J376" s="41" t="str">
        <x:v>Yes</x:v>
      </x:c>
      <x:c r="K376" s="41" t="str">
        <x:v>Yes</x:v>
      </x:c>
    </x:row>
    <x:row r="377">
      <x:c r="A377" s="41" t="str">
        <x:v>TQL66</x:v>
      </x:c>
      <x:c r="B377" s="41" t="str">
        <x:v>Adjustable Abdominal</x:v>
      </x:c>
      <x:c r="C377" s="41" t="str">
        <x:v>Strength</x:v>
      </x:c>
      <x:c r="D377" s="41" t="str">
        <x:v>Premier</x:v>
      </x:c>
      <x:c r="E377" s="41" t="str">
        <x:v>17</x:v>
      </x:c>
      <x:c r="F377" s="42" t="n">
        <x:v>2210</x:v>
      </x:c>
      <x:c r="G377" s="41" t="str">
        <x:v>Nos</x:v>
      </x:c>
      <x:c r="H377" s="41" t="n">
        <x:v>0</x:v>
      </x:c>
      <x:c r="I377" s="41" t="str">
        <x:v>Dimension: 1470×770×1040mm
Net Weight:45kg
10 years frame warranty</x:v>
      </x:c>
      <x:c r="J377" s="41" t="str">
        <x:v>Yes</x:v>
      </x:c>
      <x:c r="K377" s="41" t="str">
        <x:v>Yes</x:v>
      </x:c>
    </x:row>
    <x:row r="378">
      <x:c r="A378" s="41" t="str">
        <x:v>TQL43</x:v>
      </x:c>
      <x:c r="B378" s="41" t="str">
        <x:v>Power Cage</x:v>
      </x:c>
      <x:c r="C378" s="41" t="str">
        <x:v>Strength</x:v>
      </x:c>
      <x:c r="D378" s="41" t="str">
        <x:v>Premier</x:v>
      </x:c>
      <x:c r="E378" s="41" t="str">
        <x:v>17</x:v>
      </x:c>
      <x:c r="F378" s="42" t="n">
        <x:v>6390</x:v>
      </x:c>
      <x:c r="G378" s="41" t="str">
        <x:v>Nos</x:v>
      </x:c>
      <x:c r="H378" s="41" t="n">
        <x:v>0</x:v>
      </x:c>
      <x:c r="I378" s="41" t="str">
        <x:v>Dimension: 1963×1720×2815mm
Net Weight:230kg
10 years frame warranty</x:v>
      </x:c>
      <x:c r="J378" s="41" t="str">
        <x:v>Yes</x:v>
      </x:c>
      <x:c r="K378" s="41" t="str">
        <x:v>Yes</x:v>
      </x:c>
    </x:row>
    <x:row r="379">
      <x:c r="A379" s="41" t="str">
        <x:v>TQL61</x:v>
      </x:c>
      <x:c r="B379" s="41" t="str">
        <x:v>Multi-purpose bench</x:v>
      </x:c>
      <x:c r="C379" s="41" t="str">
        <x:v>Strength</x:v>
      </x:c>
      <x:c r="D379" s="41" t="str">
        <x:v>Premier</x:v>
      </x:c>
      <x:c r="E379" s="41" t="str">
        <x:v>17</x:v>
      </x:c>
      <x:c r="F379" s="42" t="n">
        <x:v>3280</x:v>
      </x:c>
      <x:c r="G379" s="41" t="str">
        <x:v>Nos</x:v>
      </x:c>
      <x:c r="H379" s="41" t="n">
        <x:v>0</x:v>
      </x:c>
      <x:c r="I379" s="41" t="str">
        <x:v>Dimension: 1670×1370×1240mm
Net Weight: 116kg
10 years frame warranty</x:v>
      </x:c>
      <x:c r="J379" s="41" t="str">
        <x:v>Yes</x:v>
      </x:c>
      <x:c r="K379" s="41" t="str">
        <x:v>Yes</x:v>
      </x:c>
    </x:row>
    <x:row r="380">
      <x:c r="A380" s="41" t="str">
        <x:v>TQL48</x:v>
      </x:c>
      <x:c r="B380" s="41" t="str">
        <x:v>Roman Chair (Hyper/Back Extension)</x:v>
      </x:c>
      <x:c r="C380" s="41" t="str">
        <x:v>Strength</x:v>
      </x:c>
      <x:c r="D380" s="41" t="str">
        <x:v>Premier</x:v>
      </x:c>
      <x:c r="E380" s="41" t="str">
        <x:v>17</x:v>
      </x:c>
      <x:c r="F380" s="42" t="n">
        <x:v>2090</x:v>
      </x:c>
      <x:c r="G380" s="41" t="str">
        <x:v>Nos</x:v>
      </x:c>
      <x:c r="H380" s="41" t="n">
        <x:v>0</x:v>
      </x:c>
      <x:c r="I380" s="41" t="str">
        <x:v>Dimension: 1520×740×790mm
Net Weight:59kg
10 years frame warranty</x:v>
      </x:c>
      <x:c r="J380" s="41" t="str">
        <x:v>Yes</x:v>
      </x:c>
      <x:c r="K380" s="41" t="str">
        <x:v>Yes</x:v>
      </x:c>
    </x:row>
    <x:row r="381">
      <x:c r="A381" s="41" t="str">
        <x:v>TQL39</x:v>
      </x:c>
      <x:c r="B381" s="41" t="str">
        <x:v>Hip Thrust</x:v>
      </x:c>
      <x:c r="C381" s="41" t="str">
        <x:v>Strength</x:v>
      </x:c>
      <x:c r="D381" s="41" t="str">
        <x:v>Premier</x:v>
      </x:c>
      <x:c r="E381" s="41" t="str">
        <x:v>17</x:v>
      </x:c>
      <x:c r="F381" s="42" t="n">
        <x:v>3900</x:v>
      </x:c>
      <x:c r="G381" s="41" t="str">
        <x:v>Nos</x:v>
      </x:c>
      <x:c r="H381" s="41" t="n">
        <x:v>0</x:v>
      </x:c>
      <x:c r="I381" s="41" t="str">
        <x:v>Dimension: 1745×1485×800mm
Net Weight: 105kg
10 years frame warranty</x:v>
      </x:c>
      <x:c r="J381" s="41" t="str">
        <x:v>Yes</x:v>
      </x:c>
      <x:c r="K381" s="41" t="str">
        <x:v>Yes</x:v>
      </x:c>
    </x:row>
    <x:row r="382">
      <x:c r="A382" s="41" t="str">
        <x:v>TQL64</x:v>
      </x:c>
      <x:c r="B382" s="41" t="str">
        <x:v>Incline Olympic Bench</x:v>
      </x:c>
      <x:c r="C382" s="41" t="str">
        <x:v>Strength</x:v>
      </x:c>
      <x:c r="D382" s="41" t="str">
        <x:v>Premier</x:v>
      </x:c>
      <x:c r="E382" s="41" t="str">
        <x:v>17</x:v>
      </x:c>
      <x:c r="F382" s="42" t="n">
        <x:v>2430</x:v>
      </x:c>
      <x:c r="G382" s="41" t="str">
        <x:v>Nos</x:v>
      </x:c>
      <x:c r="H382" s="41" t="n">
        <x:v>0</x:v>
      </x:c>
      <x:c r="I382" s="41" t="str">
        <x:v>Dimension: 1630×1710×1520mm | Net Weight:91
4kg
10 years frame warranty</x:v>
      </x:c>
      <x:c r="J382" s="41" t="str">
        <x:v>Yes</x:v>
      </x:c>
      <x:c r="K382" s="41" t="str">
        <x:v>Yes</x:v>
      </x:c>
    </x:row>
    <x:row r="383">
      <x:c r="A383" s="41" t="str">
        <x:v>TQL65</x:v>
      </x:c>
      <x:c r="B383" s="41" t="str">
        <x:v>Olympic Decline Bench</x:v>
      </x:c>
      <x:c r="C383" s="41" t="str">
        <x:v>Strength</x:v>
      </x:c>
      <x:c r="D383" s="41" t="str">
        <x:v>Premier</x:v>
      </x:c>
      <x:c r="E383" s="41" t="str">
        <x:v>17</x:v>
      </x:c>
      <x:c r="F383" s="42" t="n">
        <x:v>2660</x:v>
      </x:c>
      <x:c r="G383" s="41" t="str">
        <x:v>Nos</x:v>
      </x:c>
      <x:c r="H383" s="41" t="n">
        <x:v>0</x:v>
      </x:c>
      <x:c r="I383" s="41" t="str">
        <x:v>Dimension: 2050×1680×1300mm
Net Weight:110kg
10 years frame warranty</x:v>
      </x:c>
      <x:c r="J383" s="41" t="str">
        <x:v>Yes</x:v>
      </x:c>
      <x:c r="K383" s="41" t="str">
        <x:v>Yes</x:v>
      </x:c>
    </x:row>
    <x:row r="384">
      <x:c r="A384" s="41" t="str">
        <x:v>TQL71</x:v>
      </x:c>
      <x:c r="B384" s="41" t="str">
        <x:v>Adjustable Bench</x:v>
      </x:c>
      <x:c r="C384" s="41" t="str">
        <x:v>Strength</x:v>
      </x:c>
      <x:c r="D384" s="41" t="str">
        <x:v>Premier</x:v>
      </x:c>
      <x:c r="E384" s="41" t="str">
        <x:v>17</x:v>
      </x:c>
      <x:c r="F384" s="42" t="n">
        <x:v>1580</x:v>
      </x:c>
      <x:c r="G384" s="41" t="str">
        <x:v>Nos</x:v>
      </x:c>
      <x:c r="H384" s="41" t="n">
        <x:v>0</x:v>
      </x:c>
      <x:c r="I384" s="41" t="str">
        <x:v>Dimension 1660x550x880mm
Net Weight: 42kg
10 years frame warranty</x:v>
      </x:c>
      <x:c r="J384" s="41" t="str">
        <x:v>Yes</x:v>
      </x:c>
      <x:c r="K384" s="41" t="str">
        <x:v>Yes</x:v>
      </x:c>
    </x:row>
    <x:row r="385">
      <x:c r="A385" s="41" t="str">
        <x:v>TQL76</x:v>
      </x:c>
      <x:c r="B385" s="41" t="str">
        <x:v>Multi Purpose Bench</x:v>
      </x:c>
      <x:c r="C385" s="41" t="str">
        <x:v>Strength</x:v>
      </x:c>
      <x:c r="D385" s="41" t="str">
        <x:v>Premier</x:v>
      </x:c>
      <x:c r="E385" s="41" t="str">
        <x:v>17</x:v>
      </x:c>
      <x:c r="F385" s="42" t="n">
        <x:v>850</x:v>
      </x:c>
      <x:c r="G385" s="41" t="str">
        <x:v>Nos</x:v>
      </x:c>
      <x:c r="H385" s="41" t="n">
        <x:v>0</x:v>
      </x:c>
      <x:c r="I385" s="41" t="str">
        <x:v>Dimension 1200×670×840mm
Net Weight: 28kg
10 years frame warranty</x:v>
      </x:c>
      <x:c r="J385" s="41" t="str">
        <x:v>Yes</x:v>
      </x:c>
      <x:c r="K385" s="41" t="str">
        <x:v>Yes</x:v>
      </x:c>
    </x:row>
    <x:row r="386">
      <x:c r="A386" s="41" t="str">
        <x:v>TQL67</x:v>
      </x:c>
      <x:c r="B386" s="41" t="str">
        <x:v>Laydown Pecfly</x:v>
      </x:c>
      <x:c r="C386" s="41" t="str">
        <x:v>Strength</x:v>
      </x:c>
      <x:c r="D386" s="41" t="str">
        <x:v>Premier</x:v>
      </x:c>
      <x:c r="E386" s="41" t="str">
        <x:v>17</x:v>
      </x:c>
      <x:c r="F386" s="42" t="n">
        <x:v>3220</x:v>
      </x:c>
      <x:c r="G386" s="41" t="str">
        <x:v>Nos</x:v>
      </x:c>
      <x:c r="H386" s="41" t="n">
        <x:v>0</x:v>
      </x:c>
      <x:c r="I386" s="41" t="str">
        <x:v>Dimension: 1918×1066×897mm | Net Weight:74
5kg
10 years frame warranty</x:v>
      </x:c>
      <x:c r="J386" s="41" t="str">
        <x:v>Yes</x:v>
      </x:c>
      <x:c r="K386" s="41" t="str">
        <x:v>Yes</x:v>
      </x:c>
    </x:row>
    <x:row r="387">
      <x:c r="A387" s="41" t="str">
        <x:v>TQL35</x:v>
      </x:c>
      <x:c r="B387" s="41" t="str">
        <x:v>Standing Calf</x:v>
      </x:c>
      <x:c r="C387" s="41" t="str">
        <x:v>Strength</x:v>
      </x:c>
      <x:c r="D387" s="41" t="str">
        <x:v>Premier</x:v>
      </x:c>
      <x:c r="E387" s="41" t="str">
        <x:v>17</x:v>
      </x:c>
      <x:c r="F387" s="42" t="n">
        <x:v>3450</x:v>
      </x:c>
      <x:c r="G387" s="41" t="str">
        <x:v>Nos</x:v>
      </x:c>
      <x:c r="H387" s="41" t="n">
        <x:v>0</x:v>
      </x:c>
      <x:c r="I387" s="41" t="str">
        <x:v>Dimension: 1220×1210×1520mm
Net Weight:74kg
10 years frame warranty</x:v>
      </x:c>
      <x:c r="J387" s="41" t="str">
        <x:v>Yes</x:v>
      </x:c>
      <x:c r="K387" s="41" t="str">
        <x:v>Yes</x:v>
      </x:c>
    </x:row>
    <x:row r="388">
      <x:c r="A388" s="41" t="str">
        <x:v>TQL53</x:v>
      </x:c>
      <x:c r="B388" s="41" t="str">
        <x:v>Incline Level Row</x:v>
      </x:c>
      <x:c r="C388" s="41" t="str">
        <x:v>Strength</x:v>
      </x:c>
      <x:c r="D388" s="41" t="str">
        <x:v>Premier</x:v>
      </x:c>
      <x:c r="E388" s="41" t="str">
        <x:v>17</x:v>
      </x:c>
      <x:c r="F388" s="42" t="n">
        <x:v>3170</x:v>
      </x:c>
      <x:c r="G388" s="41" t="str">
        <x:v>Nos</x:v>
      </x:c>
      <x:c r="H388" s="41" t="n">
        <x:v>0</x:v>
      </x:c>
      <x:c r="I388" s="41" t="str">
        <x:v>Dimension: 1880x850x560mm
Net Weight: 110kg
10 years frame warranty</x:v>
      </x:c>
      <x:c r="J388" s="41" t="str">
        <x:v>Yes</x:v>
      </x:c>
      <x:c r="K388" s="41" t="str">
        <x:v>Yes</x:v>
      </x:c>
    </x:row>
    <x:row r="389">
      <x:c r="A389" s="41" t="str">
        <x:v>TQL57</x:v>
      </x:c>
      <x:c r="B389" s="41" t="str">
        <x:v>Seated Calf</x:v>
      </x:c>
      <x:c r="C389" s="41" t="str">
        <x:v>Strength</x:v>
      </x:c>
      <x:c r="D389" s="41" t="str">
        <x:v>Premier</x:v>
      </x:c>
      <x:c r="E389" s="41" t="str">
        <x:v>17</x:v>
      </x:c>
      <x:c r="F389" s="42" t="n">
        <x:v>1810</x:v>
      </x:c>
      <x:c r="G389" s="41" t="str">
        <x:v>Nos</x:v>
      </x:c>
      <x:c r="H389" s="41" t="n">
        <x:v>0</x:v>
      </x:c>
      <x:c r="I389" s="41" t="str">
        <x:v>Dimension 1460×630×1000mm
Net Weight: 53kg
10 years frame warranty</x:v>
      </x:c>
      <x:c r="J389" s="41" t="str">
        <x:v>Yes</x:v>
      </x:c>
      <x:c r="K389" s="41" t="str">
        <x:v>Yes</x:v>
      </x:c>
    </x:row>
    <x:row r="390">
      <x:c r="A390" s="41" t="str">
        <x:v>TQL63</x:v>
      </x:c>
      <x:c r="B390" s="41" t="str">
        <x:v>Flat Olympic Bench</x:v>
      </x:c>
      <x:c r="C390" s="41" t="str">
        <x:v>Strength</x:v>
      </x:c>
      <x:c r="D390" s="41" t="str">
        <x:v>Premier</x:v>
      </x:c>
      <x:c r="E390" s="41" t="str">
        <x:v>17</x:v>
      </x:c>
      <x:c r="F390" s="42" t="n">
        <x:v>2430</x:v>
      </x:c>
      <x:c r="G390" s="41" t="str">
        <x:v>Nos</x:v>
      </x:c>
      <x:c r="H390" s="41" t="n">
        <x:v>0</x:v>
      </x:c>
      <x:c r="I390" s="41" t="str">
        <x:v>Dimension: 1620×1710×1300mm
Net Weight:84kg
10 years frame warranty</x:v>
      </x:c>
      <x:c r="J390" s="41" t="str">
        <x:v>Yes</x:v>
      </x:c>
      <x:c r="K390" s="41" t="str">
        <x:v>Yes</x:v>
      </x:c>
    </x:row>
    <x:row r="391">
      <x:c r="A391" s="41" t="str">
        <x:v>TQL10</x:v>
      </x:c>
      <x:c r="B391" s="41" t="str">
        <x:v>Seated DY Row</x:v>
      </x:c>
      <x:c r="C391" s="41" t="str">
        <x:v>Strength</x:v>
      </x:c>
      <x:c r="D391" s="41" t="str">
        <x:v>Premier</x:v>
      </x:c>
      <x:c r="E391" s="41" t="str">
        <x:v>17</x:v>
      </x:c>
      <x:c r="F391" s="42" t="n">
        <x:v>3790</x:v>
      </x:c>
      <x:c r="G391" s="41" t="str">
        <x:v>Nos</x:v>
      </x:c>
      <x:c r="H391" s="41" t="n">
        <x:v>0</x:v>
      </x:c>
      <x:c r="I391" s="41" t="str">
        <x:v>Dimension: 1465×1625×2140mm
Net Weight:214kg
10 years frame warranty</x:v>
      </x:c>
      <x:c r="J391" s="41" t="str">
        <x:v>Yes</x:v>
      </x:c>
      <x:c r="K391" s="41" t="str">
        <x:v>Yes</x:v>
      </x:c>
    </x:row>
    <x:row r="392">
      <x:c r="A392" s="41" t="str">
        <x:v>TQN39</x:v>
      </x:c>
      <x:c r="B392" s="41" t="str">
        <x:v>Multi-Jungle (8 Station)</x:v>
      </x:c>
      <x:c r="C392" s="41" t="str">
        <x:v>Strength</x:v>
      </x:c>
      <x:c r="D392" s="41" t="str">
        <x:v>Premier</x:v>
      </x:c>
      <x:c r="E392" s="41" t="str">
        <x:v>17</x:v>
      </x:c>
      <x:c r="F392" s="42" t="n">
        <x:v>31680</x:v>
      </x:c>
      <x:c r="G392" s="41" t="str">
        <x:v>Nos</x:v>
      </x:c>
      <x:c r="H392" s="41" t="n">
        <x:v>0</x:v>
      </x:c>
      <x:c r="I392" s="41" t="str">
        <x:v>Dimension: 5670×3690×2275mm | Weight Stack:80kg×4 / 100kg×4
Net Weight: 1350kg
10 years frame warranty</x:v>
      </x:c>
      <x:c r="J392" s="41" t="str">
        <x:v>Yes</x:v>
      </x:c>
      <x:c r="K392" s="41" t="str">
        <x:v>Yes</x:v>
      </x:c>
    </x:row>
    <x:row r="393">
      <x:c r="A393" s="41" t="str">
        <x:v>TQL11</x:v>
      </x:c>
      <x:c r="B393" s="41" t="str">
        <x:v>Seated Incline Chest Press</x:v>
      </x:c>
      <x:c r="C393" s="41" t="str">
        <x:v>Strength</x:v>
      </x:c>
      <x:c r="D393" s="41" t="str">
        <x:v>Premier</x:v>
      </x:c>
      <x:c r="E393" s="41" t="str">
        <x:v>17</x:v>
      </x:c>
      <x:c r="F393" s="42" t="n">
        <x:v>3790</x:v>
      </x:c>
      <x:c r="G393" s="41" t="str">
        <x:v>Nos</x:v>
      </x:c>
      <x:c r="H393" s="41" t="n">
        <x:v>0</x:v>
      </x:c>
      <x:c r="I393" s="41" t="str">
        <x:v>Dimension: 1300×1690×1530mm
Net Weight:130kg
10 years frame warranty</x:v>
      </x:c>
      <x:c r="J393" s="41" t="str">
        <x:v>Yes</x:v>
      </x:c>
      <x:c r="K393" s="41" t="str">
        <x:v>Yes</x:v>
      </x:c>
    </x:row>
    <x:row r="394">
      <x:c r="A394" s="41" t="str">
        <x:v>TQL09A</x:v>
      </x:c>
      <x:c r="B394" s="41" t="str">
        <x:v>Smith / Squat Rack</x:v>
      </x:c>
      <x:c r="C394" s="41" t="str">
        <x:v>Strength</x:v>
      </x:c>
      <x:c r="D394" s="41" t="str">
        <x:v>Premier</x:v>
      </x:c>
      <x:c r="E394" s="41" t="str">
        <x:v>17</x:v>
      </x:c>
      <x:c r="F394" s="42" t="n">
        <x:v>9050</x:v>
      </x:c>
      <x:c r="G394" s="41" t="str">
        <x:v>Nos</x:v>
      </x:c>
      <x:c r="H394" s="41" t="n">
        <x:v>0</x:v>
      </x:c>
      <x:c r="I394" s="41" t="str">
        <x:v>Dimension: 2240×1935×2190mm
Net Weight:362kg
10 years frame warranty</x:v>
      </x:c>
      <x:c r="J394" s="41" t="str">
        <x:v>Yes</x:v>
      </x:c>
      <x:c r="K394" s="41" t="str">
        <x:v>Yes</x:v>
      </x:c>
    </x:row>
    <x:row r="395">
      <x:c r="A395" s="41" t="str">
        <x:v>TQL16</x:v>
      </x:c>
      <x:c r="B395" s="41" t="str">
        <x:v>Seated Calf Machine</x:v>
      </x:c>
      <x:c r="C395" s="41" t="str">
        <x:v>Strength</x:v>
      </x:c>
      <x:c r="D395" s="41" t="str">
        <x:v>Premier</x:v>
      </x:c>
      <x:c r="E395" s="41" t="str">
        <x:v>17</x:v>
      </x:c>
      <x:c r="F395" s="42" t="n">
        <x:v>2550</x:v>
      </x:c>
      <x:c r="G395" s="41" t="str">
        <x:v>Nos</x:v>
      </x:c>
      <x:c r="H395" s="41" t="n">
        <x:v>0</x:v>
      </x:c>
      <x:c r="I395" s="41" t="str">
        <x:v>Dimension: 1230×750×870mm
Net Weight:68kg
10 years frame warranty</x:v>
      </x:c>
      <x:c r="J395" s="41" t="str">
        <x:v>Yes</x:v>
      </x:c>
      <x:c r="K395" s="41" t="str">
        <x:v>Yes</x:v>
      </x:c>
    </x:row>
    <x:row r="396">
      <x:c r="A396" s="41" t="str">
        <x:v>TQL13</x:v>
      </x:c>
      <x:c r="B396" s="41" t="str">
        <x:v>Arm Curl</x:v>
      </x:c>
      <x:c r="C396" s="41" t="str">
        <x:v>Strength</x:v>
      </x:c>
      <x:c r="D396" s="41" t="str">
        <x:v>Premier</x:v>
      </x:c>
      <x:c r="E396" s="41" t="str">
        <x:v>17</x:v>
      </x:c>
      <x:c r="F396" s="42" t="n">
        <x:v>2550</x:v>
      </x:c>
      <x:c r="G396" s="41" t="str">
        <x:v>Nos</x:v>
      </x:c>
      <x:c r="H396" s="41" t="n">
        <x:v>0</x:v>
      </x:c>
      <x:c r="I396" s="41" t="str">
        <x:v>Dimension: 1170×800×1080mm
Net Weight:73kg
10 years frame warranty</x:v>
      </x:c>
      <x:c r="J396" s="41" t="str">
        <x:v>Yes</x:v>
      </x:c>
      <x:c r="K396" s="41" t="str">
        <x:v>Yes</x:v>
      </x:c>
    </x:row>
    <x:row r="397">
      <x:c r="A397" s="41" t="str">
        <x:v>TQL33</x:v>
      </x:c>
      <x:c r="B397" s="41" t="str">
        <x:v>V Squat</x:v>
      </x:c>
      <x:c r="C397" s="41" t="str">
        <x:v>Strength</x:v>
      </x:c>
      <x:c r="D397" s="41" t="str">
        <x:v>Premier</x:v>
      </x:c>
      <x:c r="E397" s="41" t="str">
        <x:v>17</x:v>
      </x:c>
      <x:c r="F397" s="42" t="n">
        <x:v>5490</x:v>
      </x:c>
      <x:c r="G397" s="41" t="str">
        <x:v>Nos</x:v>
      </x:c>
      <x:c r="H397" s="41" t="n">
        <x:v>0</x:v>
      </x:c>
      <x:c r="I397" s="41" t="str">
        <x:v>Dimension: 2440×1310×1850mm
Net Weight:200g
10 years frame warranty</x:v>
      </x:c>
      <x:c r="J397" s="41" t="str">
        <x:v>Yes</x:v>
      </x:c>
      <x:c r="K397" s="41" t="str">
        <x:v>Yes</x:v>
      </x:c>
    </x:row>
    <x:row r="398">
      <x:c r="A398" s="41" t="str">
        <x:v>TQL18</x:v>
      </x:c>
      <x:c r="B398" s="41" t="str">
        <x:v>Seated Chest Press</x:v>
      </x:c>
      <x:c r="C398" s="41" t="str">
        <x:v>Strength</x:v>
      </x:c>
      <x:c r="D398" s="41" t="str">
        <x:v>Premier</x:v>
      </x:c>
      <x:c r="E398" s="41" t="str">
        <x:v>17</x:v>
      </x:c>
      <x:c r="F398" s="42" t="n">
        <x:v>3790</x:v>
      </x:c>
      <x:c r="G398" s="41" t="str">
        <x:v>Nos</x:v>
      </x:c>
      <x:c r="H398" s="41" t="n">
        <x:v>0</x:v>
      </x:c>
      <x:c r="I398" s="41" t="str">
        <x:v>Dimension: 1200×1880×1800mm
Net Weight:155kg
10 years frame warranty</x:v>
      </x:c>
      <x:c r="J398" s="41" t="str">
        <x:v>Yes</x:v>
      </x:c>
      <x:c r="K398" s="41" t="str">
        <x:v>Yes</x:v>
      </x:c>
    </x:row>
    <x:row r="399">
      <x:c r="A399" s="41" t="str">
        <x:v>TQL24</x:v>
      </x:c>
      <x:c r="B399" s="41" t="str">
        <x:v>45 Degree Leg Press</x:v>
      </x:c>
      <x:c r="C399" s="41" t="str">
        <x:v>Strength</x:v>
      </x:c>
      <x:c r="D399" s="41" t="str">
        <x:v>Premier</x:v>
      </x:c>
      <x:c r="E399" s="41" t="str">
        <x:v>17</x:v>
      </x:c>
      <x:c r="F399" s="42" t="n">
        <x:v>6280</x:v>
      </x:c>
      <x:c r="G399" s="41" t="str">
        <x:v>Nos</x:v>
      </x:c>
      <x:c r="H399" s="41" t="n">
        <x:v>0</x:v>
      </x:c>
      <x:c r="I399" s="41" t="str">
        <x:v>Dimension: 2400×1620×1490mm
Net Weight:256kg
10 years frame warranty</x:v>
      </x:c>
      <x:c r="J399" s="41" t="str">
        <x:v>Yes</x:v>
      </x:c>
      <x:c r="K399" s="41" t="str">
        <x:v>Yes</x:v>
      </x:c>
    </x:row>
    <x:row r="400">
      <x:c r="A400" s="41" t="str">
        <x:v>TQN33</x:v>
      </x:c>
      <x:c r="B400" s="41" t="str">
        <x:v>Functional Trainer</x:v>
      </x:c>
      <x:c r="C400" s="41" t="str">
        <x:v>Strength</x:v>
      </x:c>
      <x:c r="D400" s="41" t="str">
        <x:v>Premier</x:v>
      </x:c>
      <x:c r="E400" s="41" t="str">
        <x:v>17</x:v>
      </x:c>
      <x:c r="F400" s="42" t="n">
        <x:v>7690</x:v>
      </x:c>
      <x:c r="G400" s="41" t="str">
        <x:v>Nos</x:v>
      </x:c>
      <x:c r="H400" s="41" t="n">
        <x:v>0</x:v>
      </x:c>
      <x:c r="I400" s="41" t="str">
        <x:v>Dimension : 1050×1950×2300mm | Weight Stack: 80kg x 2
Net Weight 354 kg
10 years frame warranty</x:v>
      </x:c>
      <x:c r="J400" s="41" t="str">
        <x:v>Yes</x:v>
      </x:c>
      <x:c r="K400" s="41" t="str">
        <x:v>Yes</x:v>
      </x:c>
    </x:row>
    <x:row r="401">
      <x:c r="A401" s="41" t="str">
        <x:v>TQL32</x:v>
      </x:c>
      <x:c r="B401" s="41" t="str">
        <x:v>Pull Over</x:v>
      </x:c>
      <x:c r="C401" s="41" t="str">
        <x:v>Strength</x:v>
      </x:c>
      <x:c r="D401" s="41" t="str">
        <x:v>Premier</x:v>
      </x:c>
      <x:c r="E401" s="41" t="str">
        <x:v>17</x:v>
      </x:c>
      <x:c r="F401" s="42" t="n">
        <x:v>3790</x:v>
      </x:c>
      <x:c r="G401" s="41" t="str">
        <x:v>Nos</x:v>
      </x:c>
      <x:c r="H401" s="41" t="n">
        <x:v>0</x:v>
      </x:c>
      <x:c r="I401" s="41" t="str">
        <x:v>Dimension: 1680×1920×1830mm
Net Weight:160kg
10 years frame warranty</x:v>
      </x:c>
      <x:c r="J401" s="41" t="str">
        <x:v>Yes</x:v>
      </x:c>
      <x:c r="K401" s="41" t="str">
        <x:v>Yes</x:v>
      </x:c>
    </x:row>
    <x:row r="402">
      <x:c r="A402" s="41" t="str">
        <x:v>TQN36</x:v>
      </x:c>
      <x:c r="B402" s="41" t="str">
        <x:v>Multi-Jungle (5 Station)</x:v>
      </x:c>
      <x:c r="C402" s="41" t="str">
        <x:v>Strength</x:v>
      </x:c>
      <x:c r="D402" s="41" t="str">
        <x:v>Premier</x:v>
      </x:c>
      <x:c r="E402" s="41" t="str">
        <x:v>17</x:v>
      </x:c>
      <x:c r="F402" s="42" t="n">
        <x:v>21040</x:v>
      </x:c>
      <x:c r="G402" s="41" t="str">
        <x:v>Nos</x:v>
      </x:c>
      <x:c r="H402" s="41" t="n">
        <x:v>0</x:v>
      </x:c>
      <x:c r="I402" s="41" t="str">
        <x:v>Dimension: 4600×4540×2330mm | Weight Stack:80kg×3 / 100kg×2
Net Weight: 910kg
10 years frame warranty</x:v>
      </x:c>
      <x:c r="J402" s="41" t="str">
        <x:v>Yes</x:v>
      </x:c>
      <x:c r="K402" s="41" t="str">
        <x:v>Yes</x:v>
      </x:c>
    </x:row>
    <x:row r="403">
      <x:c r="A403" s="41" t="str">
        <x:v>TQN34</x:v>
      </x:c>
      <x:c r="B403" s="41" t="str">
        <x:v>Adjustable Crossover</x:v>
      </x:c>
      <x:c r="C403" s="41" t="str">
        <x:v>Strength</x:v>
      </x:c>
      <x:c r="D403" s="41" t="str">
        <x:v>Premier</x:v>
      </x:c>
      <x:c r="E403" s="41" t="str">
        <x:v>17</x:v>
      </x:c>
      <x:c r="F403" s="42" t="n">
        <x:v>8370</x:v>
      </x:c>
      <x:c r="G403" s="41" t="str">
        <x:v>Nos</x:v>
      </x:c>
      <x:c r="H403" s="41" t="n">
        <x:v>0</x:v>
      </x:c>
      <x:c r="I403" s="41" t="str">
        <x:v>Dimension :4140×1030×2300mm | Weight Stack: 80kg x 2
Net Weight 330 kg
10 years frame warranty</x:v>
      </x:c>
      <x:c r="J403" s="41" t="str">
        <x:v>Yes</x:v>
      </x:c>
      <x:c r="K403" s="41" t="str">
        <x:v>Yes</x:v>
      </x:c>
    </x:row>
    <x:row r="404">
      <x:c r="A404" s="41" t="str">
        <x:v>TQL15</x:v>
      </x:c>
      <x:c r="B404" s="41" t="str">
        <x:v>Squat High Pull</x:v>
      </x:c>
      <x:c r="C404" s="41" t="str">
        <x:v>Strength</x:v>
      </x:c>
      <x:c r="D404" s="41" t="str">
        <x:v>Premier</x:v>
      </x:c>
      <x:c r="E404" s="41" t="str">
        <x:v>17</x:v>
      </x:c>
      <x:c r="F404" s="42" t="n">
        <x:v>3790</x:v>
      </x:c>
      <x:c r="G404" s="41" t="str">
        <x:v>Nos</x:v>
      </x:c>
      <x:c r="H404" s="41" t="n">
        <x:v>0</x:v>
      </x:c>
      <x:c r="I404" s="41" t="str">
        <x:v>Dimension: 1830×1635×1040mm
Net Weight:95kg
10 years frame warranty</x:v>
      </x:c>
      <x:c r="J404" s="41" t="str">
        <x:v>Yes</x:v>
      </x:c>
      <x:c r="K404" s="41" t="str">
        <x:v>Yes</x:v>
      </x:c>
    </x:row>
    <x:row r="405">
      <x:c r="A405" s="41" t="str">
        <x:v>TQL07</x:v>
      </x:c>
      <x:c r="B405" s="41" t="str">
        <x:v>Wide Chest Press</x:v>
      </x:c>
      <x:c r="C405" s="41" t="str">
        <x:v>Strength</x:v>
      </x:c>
      <x:c r="D405" s="41" t="str">
        <x:v>Premier</x:v>
      </x:c>
      <x:c r="E405" s="41" t="str">
        <x:v>17</x:v>
      </x:c>
      <x:c r="F405" s="42" t="n">
        <x:v>3790</x:v>
      </x:c>
      <x:c r="G405" s="41" t="str">
        <x:v>Nos</x:v>
      </x:c>
      <x:c r="H405" s="41" t="n">
        <x:v>0</x:v>
      </x:c>
      <x:c r="I405" s="41" t="str">
        <x:v>Dimension: 1180×2000×1720mm | Net Weight:158
5kg
10 years frame warranty</x:v>
      </x:c>
      <x:c r="J405" s="41" t="str">
        <x:v>Yes</x:v>
      </x:c>
      <x:c r="K405" s="41" t="str">
        <x:v>Yes</x:v>
      </x:c>
    </x:row>
    <x:row r="406">
      <x:c r="A406" s="41" t="str">
        <x:v>TQN32</x:v>
      </x:c>
      <x:c r="B406" s="41" t="str">
        <x:v>Multi Functional Smith Trainer</x:v>
      </x:c>
      <x:c r="C406" s="41" t="str">
        <x:v>Strength</x:v>
      </x:c>
      <x:c r="D406" s="41" t="str">
        <x:v>Premier</x:v>
      </x:c>
      <x:c r="E406" s="41" t="str">
        <x:v>17</x:v>
      </x:c>
      <x:c r="F406" s="42" t="n">
        <x:v>11880</x:v>
      </x:c>
      <x:c r="G406" s="41" t="str">
        <x:v>Nos</x:v>
      </x:c>
      <x:c r="H406" s="41" t="n">
        <x:v>0</x:v>
      </x:c>
      <x:c r="I406" s="41" t="str">
        <x:v>Dimension 1800x2230x2290mm | Weight Stack : 60kgx2
Net Weight: 472kg
10 years frame warranty</x:v>
      </x:c>
      <x:c r="J406" s="41" t="str">
        <x:v>Yes</x:v>
      </x:c>
      <x:c r="K406" s="41" t="str">
        <x:v>Yes</x:v>
      </x:c>
    </x:row>
    <x:row r="407">
      <x:c r="A407" s="41" t="str">
        <x:v>TQL14</x:v>
      </x:c>
      <x:c r="B407" s="41" t="str">
        <x:v>Shoulder Press</x:v>
      </x:c>
      <x:c r="C407" s="41" t="str">
        <x:v>Strength</x:v>
      </x:c>
      <x:c r="D407" s="41" t="str">
        <x:v>Premier</x:v>
      </x:c>
      <x:c r="E407" s="41" t="str">
        <x:v>17</x:v>
      </x:c>
      <x:c r="F407" s="42" t="n">
        <x:v>3790</x:v>
      </x:c>
      <x:c r="G407" s="41" t="str">
        <x:v>Nos</x:v>
      </x:c>
      <x:c r="H407" s="41" t="n">
        <x:v>0</x:v>
      </x:c>
      <x:c r="I407" s="41" t="str">
        <x:v>Dimension: 1410×1860×1890mm
Net Weight:145kg
10 years frame warranty</x:v>
      </x:c>
      <x:c r="J407" s="41" t="str">
        <x:v>Yes</x:v>
      </x:c>
      <x:c r="K407" s="41" t="str">
        <x:v>Yes</x:v>
      </x:c>
    </x:row>
    <x:row r="408">
      <x:c r="A408" s="41" t="str">
        <x:v>TQL25</x:v>
      </x:c>
      <x:c r="B408" s="41" t="str">
        <x:v>45 degree Leg Press</x:v>
      </x:c>
      <x:c r="C408" s="41" t="str">
        <x:v>Strength</x:v>
      </x:c>
      <x:c r="D408" s="41" t="str">
        <x:v>Premier</x:v>
      </x:c>
      <x:c r="E408" s="41" t="str">
        <x:v>17</x:v>
      </x:c>
      <x:c r="F408" s="42" t="n">
        <x:v>6340</x:v>
      </x:c>
      <x:c r="G408" s="41" t="str">
        <x:v>Nos</x:v>
      </x:c>
      <x:c r="H408" s="41" t="n">
        <x:v>0</x:v>
      </x:c>
      <x:c r="I408" s="41" t="str">
        <x:v>Dimension: 2190x1640x1260mm
Net Weight: 215kg
10 years frame warranty</x:v>
      </x:c>
      <x:c r="J408" s="41" t="str">
        <x:v>Yes</x:v>
      </x:c>
      <x:c r="K408" s="41" t="str">
        <x:v>Yes</x:v>
      </x:c>
    </x:row>
    <x:row r="409">
      <x:c r="A409" s="41" t="str">
        <x:v>TQL34</x:v>
      </x:c>
      <x:c r="B409" s="41" t="str">
        <x:v>Abdominal Work Station</x:v>
      </x:c>
      <x:c r="C409" s="41" t="str">
        <x:v>Strength</x:v>
      </x:c>
      <x:c r="D409" s="41" t="str">
        <x:v>Premier</x:v>
      </x:c>
      <x:c r="E409" s="41" t="str">
        <x:v>17</x:v>
      </x:c>
      <x:c r="F409" s="42" t="n">
        <x:v>3790</x:v>
      </x:c>
      <x:c r="G409" s="41" t="str">
        <x:v>Nos</x:v>
      </x:c>
      <x:c r="H409" s="41" t="n">
        <x:v>0</x:v>
      </x:c>
      <x:c r="I409" s="41" t="str">
        <x:v>Dimension: 2240×930×1850mm
Net Weight:109kg
10 years frame warranty</x:v>
      </x:c>
      <x:c r="J409" s="41" t="str">
        <x:v>Yes</x:v>
      </x:c>
      <x:c r="K409" s="41" t="str">
        <x:v>Yes</x:v>
      </x:c>
    </x:row>
    <x:row r="410">
      <x:c r="A410" s="41" t="str">
        <x:v>TQL09</x:v>
      </x:c>
      <x:c r="B410" s="41" t="str">
        <x:v>Smith Machine</x:v>
      </x:c>
      <x:c r="C410" s="41" t="str">
        <x:v>Strength</x:v>
      </x:c>
      <x:c r="D410" s="41" t="str">
        <x:v>Premier</x:v>
      </x:c>
      <x:c r="E410" s="41" t="str">
        <x:v>17</x:v>
      </x:c>
      <x:c r="F410" s="42" t="n">
        <x:v>5940</x:v>
      </x:c>
      <x:c r="G410" s="41" t="str">
        <x:v>Nos</x:v>
      </x:c>
      <x:c r="H410" s="41" t="n">
        <x:v>0</x:v>
      </x:c>
      <x:c r="I410" s="41" t="str">
        <x:v>Dimension: 2430×1260×2280mm
Net Weight:242kg
10 years frame warranty</x:v>
      </x:c>
      <x:c r="J410" s="41" t="str">
        <x:v>Yes</x:v>
      </x:c>
      <x:c r="K410" s="41" t="str">
        <x:v>Yes</x:v>
      </x:c>
    </x:row>
    <x:row r="411">
      <x:c r="A411" s="41" t="str">
        <x:v>TQL01</x:v>
      </x:c>
      <x:c r="B411" s="41" t="str">
        <x:v>Incline Chest Press</x:v>
      </x:c>
      <x:c r="C411" s="41" t="str">
        <x:v>Strength</x:v>
      </x:c>
      <x:c r="D411" s="41" t="str">
        <x:v>Premier</x:v>
      </x:c>
      <x:c r="E411" s="41" t="str">
        <x:v>17</x:v>
      </x:c>
      <x:c r="F411" s="42" t="n">
        <x:v>3790</x:v>
      </x:c>
      <x:c r="G411" s="41" t="str">
        <x:v>Nos</x:v>
      </x:c>
      <x:c r="H411" s="41" t="n">
        <x:v>0</x:v>
      </x:c>
      <x:c r="I411" s="41" t="str">
        <x:v>Dimension: 1640×970×1937mm
Net Weight:147kg
10 years frame warranty</x:v>
      </x:c>
      <x:c r="J411" s="41" t="str">
        <x:v>Yes</x:v>
      </x:c>
      <x:c r="K411" s="41" t="str">
        <x:v>Yes</x:v>
      </x:c>
    </x:row>
    <x:row r="412">
      <x:c r="A412" s="41" t="str">
        <x:v>TQN35</x:v>
      </x:c>
      <x:c r="B412" s="41" t="str">
        <x:v>Multi-Jungle (4 Station)</x:v>
      </x:c>
      <x:c r="C412" s="41" t="str">
        <x:v>Strength</x:v>
      </x:c>
      <x:c r="D412" s="41" t="str">
        <x:v>Premier</x:v>
      </x:c>
      <x:c r="E412" s="41" t="str">
        <x:v>17</x:v>
      </x:c>
      <x:c r="F412" s="42" t="n">
        <x:v>16970</x:v>
      </x:c>
      <x:c r="G412" s="41" t="str">
        <x:v>Nos</x:v>
      </x:c>
      <x:c r="H412" s="41" t="n">
        <x:v>0</x:v>
      </x:c>
      <x:c r="I412" s="41" t="str">
        <x:v>Dimension: 2690×2490×2700mm | Weight Stack:80kg×1/ 100kg×3
Net Weight: 820kg
10 years frame warranty</x:v>
      </x:c>
      <x:c r="J412" s="41" t="str">
        <x:v>Yes</x:v>
      </x:c>
      <x:c r="K412" s="41" t="str">
        <x:v>Yes</x:v>
      </x:c>
    </x:row>
    <x:row r="413">
      <x:c r="A413" s="41" t="str">
        <x:v>TQL20</x:v>
      </x:c>
      <x:c r="B413" s="41" t="str">
        <x:v>Horizontal Bench Press</x:v>
      </x:c>
      <x:c r="C413" s="41" t="str">
        <x:v>Strength</x:v>
      </x:c>
      <x:c r="D413" s="41" t="str">
        <x:v>Premier</x:v>
      </x:c>
      <x:c r="E413" s="41" t="str">
        <x:v>17</x:v>
      </x:c>
      <x:c r="F413" s="42" t="n">
        <x:v>3450</x:v>
      </x:c>
      <x:c r="G413" s="41" t="str">
        <x:v>Nos</x:v>
      </x:c>
      <x:c r="H413" s="41" t="n">
        <x:v>0</x:v>
      </x:c>
      <x:c r="I413" s="41" t="str">
        <x:v>Dimension: 1750×1730×1110mm
Net Weight:96kg
10 years frame warranty</x:v>
      </x:c>
      <x:c r="J413" s="41" t="str">
        <x:v>Yes</x:v>
      </x:c>
      <x:c r="K413" s="41" t="str">
        <x:v>Yes</x:v>
      </x:c>
    </x:row>
    <x:row r="414">
      <x:c r="A414" s="41" t="str">
        <x:v>TQL17</x:v>
      </x:c>
      <x:c r="B414" s="41" t="str">
        <x:v>Low Row</x:v>
      </x:c>
      <x:c r="C414" s="41" t="str">
        <x:v>Strength</x:v>
      </x:c>
      <x:c r="D414" s="41" t="str">
        <x:v>Premier</x:v>
      </x:c>
      <x:c r="E414" s="41" t="str">
        <x:v>17</x:v>
      </x:c>
      <x:c r="F414" s="42" t="n">
        <x:v>3790</x:v>
      </x:c>
      <x:c r="G414" s="41" t="str">
        <x:v>Nos</x:v>
      </x:c>
      <x:c r="H414" s="41" t="n">
        <x:v>0</x:v>
      </x:c>
      <x:c r="I414" s="41" t="str">
        <x:v>Dimension: 1270×1380×1670mm
Net Weight:130kg
10 years frame warranty</x:v>
      </x:c>
      <x:c r="J414" s="41" t="str">
        <x:v>Yes</x:v>
      </x:c>
      <x:c r="K414" s="41" t="str">
        <x:v>Yes</x:v>
      </x:c>
    </x:row>
    <x:row r="415">
      <x:c r="A415" s="41" t="str">
        <x:v>TQL06</x:v>
      </x:c>
      <x:c r="B415" s="41" t="str">
        <x:v>ISO Lateral Row</x:v>
      </x:c>
      <x:c r="C415" s="41" t="str">
        <x:v>Strength</x:v>
      </x:c>
      <x:c r="D415" s="41" t="str">
        <x:v>Premier</x:v>
      </x:c>
      <x:c r="E415" s="41" t="str">
        <x:v>17</x:v>
      </x:c>
      <x:c r="F415" s="42" t="n">
        <x:v>3680</x:v>
      </x:c>
      <x:c r="G415" s="41" t="str">
        <x:v>Nos</x:v>
      </x:c>
      <x:c r="H415" s="41" t="n">
        <x:v>0</x:v>
      </x:c>
      <x:c r="I415" s="41" t="str">
        <x:v>Dimension: 1490×1430×1380mm
Net Weight:120kg
10 years frame warranty</x:v>
      </x:c>
      <x:c r="J415" s="41" t="str">
        <x:v>Yes</x:v>
      </x:c>
      <x:c r="K415" s="41" t="str">
        <x:v>Yes</x:v>
      </x:c>
    </x:row>
    <x:row r="416">
      <x:c r="A416" s="41" t="str">
        <x:v>TQL08</x:v>
      </x:c>
      <x:c r="B416" s="41" t="str">
        <x:v>Squat Lunge</x:v>
      </x:c>
      <x:c r="C416" s="41" t="str">
        <x:v>Strength</x:v>
      </x:c>
      <x:c r="D416" s="41" t="str">
        <x:v>Premier</x:v>
      </x:c>
      <x:c r="E416" s="41" t="str">
        <x:v>17</x:v>
      </x:c>
      <x:c r="F416" s="42" t="n">
        <x:v>3790</x:v>
      </x:c>
      <x:c r="G416" s="41" t="str">
        <x:v>Nos</x:v>
      </x:c>
      <x:c r="H416" s="41" t="n">
        <x:v>0</x:v>
      </x:c>
      <x:c r="I416" s="41" t="str">
        <x:v>Dimension: 1630×1360×890mm
Net Weight:120kg
10 years frame warranty</x:v>
      </x:c>
      <x:c r="J416" s="41" t="str">
        <x:v>Yes</x:v>
      </x:c>
      <x:c r="K416" s="41" t="str">
        <x:v>Yes</x:v>
      </x:c>
    </x:row>
    <x:row r="417">
      <x:c r="A417" s="41" t="str">
        <x:v>TQL23</x:v>
      </x:c>
      <x:c r="B417" s="41" t="str">
        <x:v>90 Degree Leg Press</x:v>
      </x:c>
      <x:c r="C417" s="41" t="str">
        <x:v>Strength</x:v>
      </x:c>
      <x:c r="D417" s="41" t="str">
        <x:v>Premier</x:v>
      </x:c>
      <x:c r="E417" s="41" t="str">
        <x:v>17</x:v>
      </x:c>
      <x:c r="F417" s="42" t="n">
        <x:v>4580</x:v>
      </x:c>
      <x:c r="G417" s="41" t="str">
        <x:v>Nos</x:v>
      </x:c>
      <x:c r="H417" s="41" t="n">
        <x:v>0</x:v>
      </x:c>
      <x:c r="I417" s="41" t="str">
        <x:v>Dimension: 1320×1700×1806mm
Net Weight:150kg
10 years frame warranty</x:v>
      </x:c>
      <x:c r="J417" s="41" t="str">
        <x:v>Yes</x:v>
      </x:c>
      <x:c r="K417" s="41" t="str">
        <x:v>Yes</x:v>
      </x:c>
    </x:row>
    <x:row r="418">
      <x:c r="A418" s="41" t="str">
        <x:v>TQL27</x:v>
      </x:c>
      <x:c r="B418" s="41" t="str">
        <x:v>45 Degree Leg Press / Hack Slide</x:v>
      </x:c>
      <x:c r="C418" s="41" t="str">
        <x:v>Strength</x:v>
      </x:c>
      <x:c r="D418" s="41" t="str">
        <x:v>Premier</x:v>
      </x:c>
      <x:c r="E418" s="41" t="str">
        <x:v>17</x:v>
      </x:c>
      <x:c r="F418" s="42" t="n">
        <x:v>6670</x:v>
      </x:c>
      <x:c r="G418" s="41" t="str">
        <x:v>Nos</x:v>
      </x:c>
      <x:c r="H418" s="41" t="n">
        <x:v>0</x:v>
      </x:c>
      <x:c r="I418" s="41" t="str">
        <x:v>Dimension 2370×1640×1450mm
Net Weight: 254kg
10 years frame warranty</x:v>
      </x:c>
      <x:c r="J418" s="41" t="str">
        <x:v>Yes</x:v>
      </x:c>
      <x:c r="K418" s="41" t="str">
        <x:v>Yes</x:v>
      </x:c>
    </x:row>
    <x:row r="419">
      <x:c r="A419" s="41" t="str">
        <x:v>TQL03</x:v>
      </x:c>
      <x:c r="B419" s="41" t="str">
        <x:v>Seated Leg Press</x:v>
      </x:c>
      <x:c r="C419" s="41" t="str">
        <x:v>Strength</x:v>
      </x:c>
      <x:c r="D419" s="41" t="str">
        <x:v>Premier</x:v>
      </x:c>
      <x:c r="E419" s="41" t="str">
        <x:v>17</x:v>
      </x:c>
      <x:c r="F419" s="42" t="n">
        <x:v>4580</x:v>
      </x:c>
      <x:c r="G419" s="41" t="str">
        <x:v>Nos</x:v>
      </x:c>
      <x:c r="H419" s="41" t="n">
        <x:v>0</x:v>
      </x:c>
      <x:c r="I419" s="41" t="str">
        <x:v>Dimension: 1770×1690×1500mm
Net Weight:145kg
10 years frame warranty</x:v>
      </x:c>
      <x:c r="J419" s="41" t="str">
        <x:v>Yes</x:v>
      </x:c>
      <x:c r="K419" s="41" t="str">
        <x:v>Yes</x:v>
      </x:c>
    </x:row>
    <x:row r="420">
      <x:c r="A420" s="41" t="str">
        <x:v>TQL21</x:v>
      </x:c>
      <x:c r="B420" s="41" t="str">
        <x:v>Seated Biceps</x:v>
      </x:c>
      <x:c r="C420" s="41" t="str">
        <x:v>Strength</x:v>
      </x:c>
      <x:c r="D420" s="41" t="str">
        <x:v>Premier</x:v>
      </x:c>
      <x:c r="E420" s="41" t="str">
        <x:v>17</x:v>
      </x:c>
      <x:c r="F420" s="42" t="n">
        <x:v>3450</x:v>
      </x:c>
      <x:c r="G420" s="41" t="str">
        <x:v>Nos</x:v>
      </x:c>
      <x:c r="H420" s="41" t="n">
        <x:v>0</x:v>
      </x:c>
      <x:c r="I420" s="41" t="str">
        <x:v>Dimension: 1510×1460×1470mm
Net Weight:98kg
10 years frame warranty</x:v>
      </x:c>
      <x:c r="J420" s="41" t="str">
        <x:v>Yes</x:v>
      </x:c>
      <x:c r="K420" s="41" t="str">
        <x:v>Yes</x:v>
      </x:c>
    </x:row>
    <x:row r="421">
      <x:c r="A421" s="41" t="str">
        <x:v>TQL28</x:v>
      </x:c>
      <x:c r="B421" s="41" t="str">
        <x:v>Incline Pecfly</x:v>
      </x:c>
      <x:c r="C421" s="41" t="str">
        <x:v>Strength</x:v>
      </x:c>
      <x:c r="D421" s="41" t="str">
        <x:v>Premier</x:v>
      </x:c>
      <x:c r="E421" s="41" t="str">
        <x:v>17</x:v>
      </x:c>
      <x:c r="F421" s="42" t="n">
        <x:v>3450</x:v>
      </x:c>
      <x:c r="G421" s="41" t="str">
        <x:v>Nos</x:v>
      </x:c>
      <x:c r="H421" s="41" t="n">
        <x:v>0</x:v>
      </x:c>
      <x:c r="I421" s="41" t="str">
        <x:v>Dimension: 1740×1650×1190mm
Net Weight:105kg
10 years frame warranty</x:v>
      </x:c>
      <x:c r="J421" s="41" t="str">
        <x:v>Yes</x:v>
      </x:c>
      <x:c r="K421" s="41" t="str">
        <x:v>Yes</x:v>
      </x:c>
    </x:row>
    <x:row r="422">
      <x:c r="A422" s="41" t="str">
        <x:v>TQL22</x:v>
      </x:c>
      <x:c r="B422" s="41" t="str">
        <x:v>ISO Seated Leg Extension</x:v>
      </x:c>
      <x:c r="C422" s="41" t="str">
        <x:v>Strength</x:v>
      </x:c>
      <x:c r="D422" s="41" t="str">
        <x:v>Premier</x:v>
      </x:c>
      <x:c r="E422" s="41" t="str">
        <x:v>17</x:v>
      </x:c>
      <x:c r="F422" s="42" t="n">
        <x:v>3850</x:v>
      </x:c>
      <x:c r="G422" s="41" t="str">
        <x:v>Nos</x:v>
      </x:c>
      <x:c r="H422" s="41" t="n">
        <x:v>0</x:v>
      </x:c>
      <x:c r="I422" s="41" t="str">
        <x:v>Dimension: 1480×2060×980mm
Net Weight:154kg
10 years frame warranty</x:v>
      </x:c>
      <x:c r="J422" s="41" t="str">
        <x:v>Yes</x:v>
      </x:c>
      <x:c r="K422" s="41" t="str">
        <x:v>Yes</x:v>
      </x:c>
    </x:row>
    <x:row r="423">
      <x:c r="A423" s="41" t="str">
        <x:v>TQL31</x:v>
      </x:c>
      <x:c r="B423" s="41" t="str">
        <x:v>Seated Dip</x:v>
      </x:c>
      <x:c r="C423" s="41" t="str">
        <x:v>Strength</x:v>
      </x:c>
      <x:c r="D423" s="41" t="str">
        <x:v>Premier</x:v>
      </x:c>
      <x:c r="E423" s="41" t="str">
        <x:v>17</x:v>
      </x:c>
      <x:c r="F423" s="42" t="n">
        <x:v>3790</x:v>
      </x:c>
      <x:c r="G423" s="41" t="str">
        <x:v>Nos</x:v>
      </x:c>
      <x:c r="H423" s="41" t="n">
        <x:v>0</x:v>
      </x:c>
      <x:c r="I423" s="41" t="str">
        <x:v>Dimension: 1690×1590×1060mm
Net Weight:125kg
10 years frame warranty</x:v>
      </x:c>
      <x:c r="J423" s="41" t="str">
        <x:v>Yes</x:v>
      </x:c>
      <x:c r="K423" s="41" t="str">
        <x:v>Yes</x:v>
      </x:c>
    </x:row>
    <x:row r="424">
      <x:c r="A424" s="41" t="str">
        <x:v>TQN30E</x:v>
      </x:c>
      <x:c r="B424" s="41" t="str">
        <x:v>Multi Functional Smith with Low Row/Leg Press</x:v>
      </x:c>
      <x:c r="C424" s="41" t="str">
        <x:v>Strength</x:v>
      </x:c>
      <x:c r="D424" s="41" t="str">
        <x:v>Premier</x:v>
      </x:c>
      <x:c r="E424" s="41" t="str">
        <x:v>17</x:v>
      </x:c>
      <x:c r="F424" s="42" t="n">
        <x:v>11090</x:v>
      </x:c>
      <x:c r="G424" s="41" t="str">
        <x:v>Nos</x:v>
      </x:c>
      <x:c r="H424" s="41" t="n">
        <x:v>0</x:v>
      </x:c>
      <x:c r="I424" s="41" t="str">
        <x:v>Dimension1490x1910x2320mm | Weight Stack : 60kgx2
Net Weight: 435kg
10 years frame warranty</x:v>
      </x:c>
      <x:c r="J424" s="41" t="str">
        <x:v>Yes</x:v>
      </x:c>
      <x:c r="K424" s="41" t="str">
        <x:v>Yes</x:v>
      </x:c>
    </x:row>
    <x:row r="425">
      <x:c r="A425" s="41" t="str">
        <x:v>TQL29</x:v>
      </x:c>
      <x:c r="B425" s="41" t="str">
        <x:v>Lateral Raise</x:v>
      </x:c>
      <x:c r="C425" s="41" t="str">
        <x:v>Strength</x:v>
      </x:c>
      <x:c r="D425" s="41" t="str">
        <x:v>Premier</x:v>
      </x:c>
      <x:c r="E425" s="41" t="str">
        <x:v>17</x:v>
      </x:c>
      <x:c r="F425" s="42" t="n">
        <x:v>3790</x:v>
      </x:c>
      <x:c r="G425" s="41" t="str">
        <x:v>Nos</x:v>
      </x:c>
      <x:c r="H425" s="41" t="n">
        <x:v>0</x:v>
      </x:c>
      <x:c r="I425" s="41" t="str">
        <x:v>Dimension: 950×1370×1330mm
Net Weight:92kg
10 years frame warranty</x:v>
      </x:c>
      <x:c r="J425" s="41" t="str">
        <x:v>Yes</x:v>
      </x:c>
      <x:c r="K425" s="41" t="str">
        <x:v>Yes</x:v>
      </x:c>
    </x:row>
    <x:row r="426">
      <x:c r="A426" s="41" t="str">
        <x:v>TQN38</x:v>
      </x:c>
      <x:c r="B426" s="41" t="str">
        <x:v>Multi-Jungle (8 Station)</x:v>
      </x:c>
      <x:c r="C426" s="41" t="str">
        <x:v>Strength</x:v>
      </x:c>
      <x:c r="D426" s="41" t="str">
        <x:v>Premier</x:v>
      </x:c>
      <x:c r="E426" s="41" t="str">
        <x:v>17</x:v>
      </x:c>
      <x:c r="F426" s="42" t="n">
        <x:v>27150</x:v>
      </x:c>
      <x:c r="G426" s="41" t="str">
        <x:v>Nos</x:v>
      </x:c>
      <x:c r="H426" s="41" t="n">
        <x:v>0</x:v>
      </x:c>
      <x:c r="I426" s="41" t="str">
        <x:v>Dimension: 5120×4540×2340mm | Weight Stack:80kg×4 / 100kg×2/ 108kg×2
Net Weight: 1310kg
10 years frame warranty</x:v>
      </x:c>
      <x:c r="J426" s="41" t="str">
        <x:v>Yes</x:v>
      </x:c>
      <x:c r="K426" s="41" t="str">
        <x:v>Yes</x:v>
      </x:c>
    </x:row>
    <x:row r="427">
      <x:c r="A427" s="41" t="str">
        <x:v>TQL30</x:v>
      </x:c>
      <x:c r="B427" s="41" t="str">
        <x:v>Kneeling Leg Curl</x:v>
      </x:c>
      <x:c r="C427" s="41" t="str">
        <x:v>Strength</x:v>
      </x:c>
      <x:c r="D427" s="41" t="str">
        <x:v>Premier</x:v>
      </x:c>
      <x:c r="E427" s="41" t="str">
        <x:v>17</x:v>
      </x:c>
      <x:c r="F427" s="42" t="n">
        <x:v>3790</x:v>
      </x:c>
      <x:c r="G427" s="41" t="str">
        <x:v>Nos</x:v>
      </x:c>
      <x:c r="H427" s="41" t="n">
        <x:v>0</x:v>
      </x:c>
      <x:c r="I427" s="41" t="str">
        <x:v>Dimension: 1170×1800×1410mm
Net Weight:110kg
10 years frame warranty</x:v>
      </x:c>
      <x:c r="J427" s="41" t="str">
        <x:v>Yes</x:v>
      </x:c>
      <x:c r="K427" s="41" t="str">
        <x:v>Yes</x:v>
      </x:c>
    </x:row>
    <x:row r="428">
      <x:c r="A428" s="41" t="str">
        <x:v>TQL02</x:v>
      </x:c>
      <x:c r="B428" s="41" t="str">
        <x:v>Rowing Lat Pull Down</x:v>
      </x:c>
      <x:c r="C428" s="41" t="str">
        <x:v>Strength</x:v>
      </x:c>
      <x:c r="D428" s="41" t="str">
        <x:v>Premier</x:v>
      </x:c>
      <x:c r="E428" s="41" t="str">
        <x:v>17</x:v>
      </x:c>
      <x:c r="F428" s="42" t="n">
        <x:v>3790</x:v>
      </x:c>
      <x:c r="G428" s="41" t="str">
        <x:v>Nos</x:v>
      </x:c>
      <x:c r="H428" s="41" t="n">
        <x:v>0</x:v>
      </x:c>
      <x:c r="I428" s="41" t="str">
        <x:v>Dimension: 1610×1530×2010mm
Net Weight:159kg
10 years frame warranty</x:v>
      </x:c>
      <x:c r="J428" s="41" t="str">
        <x:v>Yes</x:v>
      </x:c>
      <x:c r="K428" s="41" t="str">
        <x:v>Yes</x:v>
      </x:c>
    </x:row>
    <x:row r="429">
      <x:c r="A429" s="41" t="str">
        <x:v>TQL05</x:v>
      </x:c>
      <x:c r="B429" s="41" t="str">
        <x:v>Seated Chest Press &amp; Lat Pull Down</x:v>
      </x:c>
      <x:c r="C429" s="41" t="str">
        <x:v>Strength</x:v>
      </x:c>
      <x:c r="D429" s="41" t="str">
        <x:v>Premier</x:v>
      </x:c>
      <x:c r="E429" s="41" t="str">
        <x:v>17</x:v>
      </x:c>
      <x:c r="F429" s="42" t="n">
        <x:v>4810</x:v>
      </x:c>
      <x:c r="G429" s="41" t="str">
        <x:v>Nos</x:v>
      </x:c>
      <x:c r="H429" s="41" t="n">
        <x:v>0</x:v>
      </x:c>
      <x:c r="I429" s="41" t="str">
        <x:v>Dimension: 2070×1690×2030mm | Net Weight:187
5kg
10 years frame warranty</x:v>
      </x:c>
      <x:c r="J429" s="41" t="str">
        <x:v>Yes</x:v>
      </x:c>
      <x:c r="K429" s="41" t="str">
        <x:v>Yes</x:v>
      </x:c>
    </x:row>
    <x:row r="430">
      <x:c r="A430" s="41" t="str">
        <x:v>TQL19</x:v>
      </x:c>
      <x:c r="B430" s="41" t="str">
        <x:v>Wide Pull Down</x:v>
      </x:c>
      <x:c r="C430" s="41" t="str">
        <x:v>Strength</x:v>
      </x:c>
      <x:c r="D430" s="41" t="str">
        <x:v>Premier</x:v>
      </x:c>
      <x:c r="E430" s="41" t="str">
        <x:v>17</x:v>
      </x:c>
      <x:c r="F430" s="42" t="n">
        <x:v>3790</x:v>
      </x:c>
      <x:c r="G430" s="41" t="str">
        <x:v>Nos</x:v>
      </x:c>
      <x:c r="H430" s="41" t="n">
        <x:v>0</x:v>
      </x:c>
      <x:c r="I430" s="41" t="str">
        <x:v>Dimension: 1760×1180×2010mm
Net Weight:145kg
10 years frame warranty</x:v>
      </x:c>
      <x:c r="J430" s="41" t="str">
        <x:v>Yes</x:v>
      </x:c>
      <x:c r="K430" s="41" t="str">
        <x:v>Yes</x:v>
      </x:c>
    </x:row>
    <x:row r="431">
      <x:c r="A431" s="41" t="str">
        <x:v>TQL04</x:v>
      </x:c>
      <x:c r="B431" s="41" t="str">
        <x:v>Seated Chest Press</x:v>
      </x:c>
      <x:c r="C431" s="41" t="str">
        <x:v>Strength</x:v>
      </x:c>
      <x:c r="D431" s="41" t="str">
        <x:v>Premier</x:v>
      </x:c>
      <x:c r="E431" s="41" t="str">
        <x:v>17</x:v>
      </x:c>
      <x:c r="F431" s="42" t="n">
        <x:v>3790</x:v>
      </x:c>
      <x:c r="G431" s="41" t="str">
        <x:v>Nos</x:v>
      </x:c>
      <x:c r="H431" s="41" t="n">
        <x:v>0</x:v>
      </x:c>
      <x:c r="I431" s="41" t="str">
        <x:v>Dimension: 1300×1840×1860mm
Net Weight:152kg
10 years frame warranty</x:v>
      </x:c>
      <x:c r="J431" s="41" t="str">
        <x:v>Yes</x:v>
      </x:c>
      <x:c r="K431" s="41" t="str">
        <x:v>Yes</x:v>
      </x:c>
    </x:row>
    <x:row r="432">
      <x:c r="A432" s="41" t="str">
        <x:v>TQL12</x:v>
      </x:c>
      <x:c r="B432" s="41" t="str">
        <x:v>Front Lat Pulldown</x:v>
      </x:c>
      <x:c r="C432" s="41" t="str">
        <x:v>Strength</x:v>
      </x:c>
      <x:c r="D432" s="41" t="str">
        <x:v>Premier</x:v>
      </x:c>
      <x:c r="E432" s="41" t="str">
        <x:v>17</x:v>
      </x:c>
      <x:c r="F432" s="42" t="n">
        <x:v>3790</x:v>
      </x:c>
      <x:c r="G432" s="41" t="str">
        <x:v>Nos</x:v>
      </x:c>
      <x:c r="H432" s="41" t="n">
        <x:v>0</x:v>
      </x:c>
      <x:c r="I432" s="41" t="str">
        <x:v>Dimension: 1830×1390×1990mm
Net Weight:156kg
10 years frame warranty</x:v>
      </x:c>
      <x:c r="J432" s="41" t="str">
        <x:v>Yes</x:v>
      </x:c>
      <x:c r="K432" s="41" t="str">
        <x:v>Yes</x:v>
      </x:c>
    </x:row>
    <x:row r="433">
      <x:c r="A433" s="41" t="str">
        <x:v>TQN37</x:v>
      </x:c>
      <x:c r="B433" s="41" t="str">
        <x:v>Multi-Jungle (5 Station)</x:v>
      </x:c>
      <x:c r="C433" s="41" t="str">
        <x:v>Strength</x:v>
      </x:c>
      <x:c r="D433" s="41" t="str">
        <x:v>Premier</x:v>
      </x:c>
      <x:c r="E433" s="41" t="str">
        <x:v>17</x:v>
      </x:c>
      <x:c r="F433" s="42" t="n">
        <x:v>22170</x:v>
      </x:c>
      <x:c r="G433" s="41" t="str">
        <x:v>Nos</x:v>
      </x:c>
      <x:c r="H433" s="41" t="n">
        <x:v>0</x:v>
      </x:c>
      <x:c r="I433" s="41" t="str">
        <x:v>Dimension: 5600×2700×2550mm | Weight Stack:80kg×2/100kg×3
Net Weight: 1350kg
10 years frame warranty</x:v>
      </x:c>
      <x:c r="J433" s="41" t="str">
        <x:v>Yes</x:v>
      </x:c>
      <x:c r="K433" s="41" t="str">
        <x:v>Yes</x:v>
      </x:c>
    </x:row>
    <x:row r="434">
      <x:c r="A434" s="41" t="str">
        <x:v>TQL26</x:v>
      </x:c>
      <x:c r="B434" s="41" t="str">
        <x:v>Hack Slide (Squat)</x:v>
      </x:c>
      <x:c r="C434" s="41" t="str">
        <x:v>Strength</x:v>
      </x:c>
      <x:c r="D434" s="41" t="str">
        <x:v>Premier</x:v>
      </x:c>
      <x:c r="E434" s="41" t="str">
        <x:v>17</x:v>
      </x:c>
      <x:c r="F434" s="42" t="n">
        <x:v>6340</x:v>
      </x:c>
      <x:c r="G434" s="41" t="str">
        <x:v>Nos</x:v>
      </x:c>
      <x:c r="H434" s="41" t="n">
        <x:v>0</x:v>
      </x:c>
      <x:c r="I434" s="41" t="str">
        <x:v>Dimension: 2240x1640x1270mm
Net Weight: 203kg
10 years frame warranty</x:v>
      </x:c>
      <x:c r="J434" s="41" t="str">
        <x:v>Yes</x:v>
      </x:c>
      <x:c r="K434" s="41" t="str">
        <x:v>Yes</x:v>
      </x:c>
    </x:row>
    <x:row r="435">
      <x:c r="A435" s="41" t="str">
        <x:v>TQN31</x:v>
      </x:c>
      <x:c r="B435" s="41" t="str">
        <x:v>Multi Functional Smith Trainer</x:v>
      </x:c>
      <x:c r="C435" s="41" t="str">
        <x:v>Strength</x:v>
      </x:c>
      <x:c r="D435" s="41" t="str">
        <x:v>Premier</x:v>
      </x:c>
      <x:c r="E435" s="41" t="str">
        <x:v>17</x:v>
      </x:c>
      <x:c r="F435" s="42" t="n">
        <x:v>9050</x:v>
      </x:c>
      <x:c r="G435" s="41" t="str">
        <x:v>Nos</x:v>
      </x:c>
      <x:c r="H435" s="41" t="n">
        <x:v>0</x:v>
      </x:c>
      <x:c r="I435" s="41" t="str">
        <x:v>Dimension 1995×1560×2235mm | Weight Stack : 50kgx2
Net Weight: 355kg
10 years frame warranty</x:v>
      </x:c>
      <x:c r="J435" s="41" t="str">
        <x:v>Yes</x:v>
      </x:c>
      <x:c r="K435" s="41" t="str">
        <x:v>Yes</x:v>
      </x:c>
    </x:row>
    <x:row r="436">
      <x:c r="A436" s="41" t="str">
        <x:v>TQN05</x:v>
      </x:c>
      <x:c r="B436" s="41" t="str">
        <x:v>Fixed Pulldown</x:v>
      </x:c>
      <x:c r="C436" s="41" t="str">
        <x:v>Strength</x:v>
      </x:c>
      <x:c r="D436" s="41" t="str">
        <x:v>Premier</x:v>
      </x:c>
      <x:c r="E436" s="41" t="str">
        <x:v>17</x:v>
      </x:c>
      <x:c r="F436" s="42" t="n">
        <x:v>5200</x:v>
      </x:c>
      <x:c r="G436" s="41" t="str">
        <x:v>Nos</x:v>
      </x:c>
      <x:c r="H436" s="41" t="n">
        <x:v>0</x:v>
      </x:c>
      <x:c r="I436" s="41" t="str">
        <x:v>Dimension 1425x1335x1900mm | Weight Stack: 96+4
6 kg | Net Weight 228 kg
10 years frame warranty</x:v>
      </x:c>
      <x:c r="J436" s="41" t="str">
        <x:v>Yes</x:v>
      </x:c>
      <x:c r="K436" s="41" t="str">
        <x:v>Yes</x:v>
      </x:c>
    </x:row>
    <x:row r="437">
      <x:c r="A437" s="41" t="str">
        <x:v>TQN08</x:v>
      </x:c>
      <x:c r="B437" s="41" t="str">
        <x:v>Biceps Curl</x:v>
      </x:c>
      <x:c r="C437" s="41" t="str">
        <x:v>Strength</x:v>
      </x:c>
      <x:c r="D437" s="41" t="str">
        <x:v>Premier</x:v>
      </x:c>
      <x:c r="E437" s="41" t="str">
        <x:v>17</x:v>
      </x:c>
      <x:c r="F437" s="42" t="n">
        <x:v>5200</x:v>
      </x:c>
      <x:c r="G437" s="41" t="str">
        <x:v>Nos</x:v>
      </x:c>
      <x:c r="H437" s="41" t="n">
        <x:v>0</x:v>
      </x:c>
      <x:c r="I437" s="41" t="str">
        <x:v>Dimension 1140x1040x1400mm | Weight Stack: 96+4
6 kg | Net Weight 198 kg
10 years frame warranty</x:v>
      </x:c>
      <x:c r="J437" s="41" t="str">
        <x:v>Yes</x:v>
      </x:c>
      <x:c r="K437" s="41" t="str">
        <x:v>Yes</x:v>
      </x:c>
    </x:row>
    <x:row r="438">
      <x:c r="A438" s="41" t="str">
        <x:v>TQN24</x:v>
      </x:c>
      <x:c r="B438" s="41" t="str">
        <x:v>Biceps/Triceps</x:v>
      </x:c>
      <x:c r="C438" s="41" t="str">
        <x:v>Strength</x:v>
      </x:c>
      <x:c r="D438" s="41" t="str">
        <x:v>Premier</x:v>
      </x:c>
      <x:c r="E438" s="41" t="str">
        <x:v>17</x:v>
      </x:c>
      <x:c r="F438" s="42" t="n">
        <x:v>5540</x:v>
      </x:c>
      <x:c r="G438" s="41" t="str">
        <x:v>Nos</x:v>
      </x:c>
      <x:c r="H438" s="41" t="n">
        <x:v>0</x:v>
      </x:c>
      <x:c r="I438" s="41" t="str">
        <x:v>Dimension 1215*1055*1405mm | Weight Stack: 96+4
6 kg | Net Weight 213 kg
10 years frame warranty</x:v>
      </x:c>
      <x:c r="J438" s="41" t="str">
        <x:v>Yes</x:v>
      </x:c>
      <x:c r="K438" s="41" t="str">
        <x:v>Yes</x:v>
      </x:c>
    </x:row>
    <x:row r="439">
      <x:c r="A439" s="41" t="str">
        <x:v>TQN13</x:v>
      </x:c>
      <x:c r="B439" s="41" t="str">
        <x:v>Seated Leg Curl</x:v>
      </x:c>
      <x:c r="C439" s="41" t="str">
        <x:v>Strength</x:v>
      </x:c>
      <x:c r="D439" s="41" t="str">
        <x:v>Premier</x:v>
      </x:c>
      <x:c r="E439" s="41" t="str">
        <x:v>17</x:v>
      </x:c>
      <x:c r="F439" s="42" t="n">
        <x:v>5200</x:v>
      </x:c>
      <x:c r="G439" s="41" t="str">
        <x:v>Nos</x:v>
      </x:c>
      <x:c r="H439" s="41" t="n">
        <x:v>0</x:v>
      </x:c>
      <x:c r="I439" s="41" t="str">
        <x:v>Dimension 1270x1030x1635mm | Weight Stack: 96+4
6 kg | Net Weight 252 kg
10 years frame warranty</x:v>
      </x:c>
      <x:c r="J439" s="41" t="str">
        <x:v>Yes</x:v>
      </x:c>
      <x:c r="K439" s="41" t="str">
        <x:v>Yes</x:v>
      </x:c>
    </x:row>
    <x:row r="440">
      <x:c r="A440" s="41" t="str">
        <x:v>TQN03</x:v>
      </x:c>
      <x:c r="B440" s="41" t="str">
        <x:v>Shoulder Press</x:v>
      </x:c>
      <x:c r="C440" s="41" t="str">
        <x:v>Strength</x:v>
      </x:c>
      <x:c r="D440" s="41" t="str">
        <x:v>Premier</x:v>
      </x:c>
      <x:c r="E440" s="41" t="str">
        <x:v>17</x:v>
      </x:c>
      <x:c r="F440" s="42" t="n">
        <x:v>5200</x:v>
      </x:c>
      <x:c r="G440" s="41" t="str">
        <x:v>Nos</x:v>
      </x:c>
      <x:c r="H440" s="41" t="n">
        <x:v>0</x:v>
      </x:c>
      <x:c r="I440" s="41" t="str">
        <x:v>Dimension 1360x1430x1630mm | Weight Stack: 96+4
6 kg | Net Weight 224 kg
10 years frame warranty</x:v>
      </x:c>
      <x:c r="J440" s="41" t="str">
        <x:v>Yes</x:v>
      </x:c>
      <x:c r="K440" s="41" t="str">
        <x:v>Yes</x:v>
      </x:c>
    </x:row>
    <x:row r="441">
      <x:c r="A441" s="41" t="str">
        <x:v>TQN17</x:v>
      </x:c>
      <x:c r="B441" s="41" t="str">
        <x:v>Inner Thigh Adductor</x:v>
      </x:c>
      <x:c r="C441" s="41" t="str">
        <x:v>Strength</x:v>
      </x:c>
      <x:c r="D441" s="41" t="str">
        <x:v>Premier</x:v>
      </x:c>
      <x:c r="E441" s="41" t="str">
        <x:v>17</x:v>
      </x:c>
      <x:c r="F441" s="42" t="n">
        <x:v>5200</x:v>
      </x:c>
      <x:c r="G441" s="41" t="str">
        <x:v>Nos</x:v>
      </x:c>
      <x:c r="H441" s="41" t="n">
        <x:v>0</x:v>
      </x:c>
      <x:c r="I441" s="41" t="str">
        <x:v>Dimension 1380x1100x1830mm | Weight Stack: 96+4
6 kg | Net Weight 220 kg
10 years frame warranty</x:v>
      </x:c>
      <x:c r="J441" s="41" t="str">
        <x:v>Yes</x:v>
      </x:c>
      <x:c r="K441" s="41" t="str">
        <x:v>Yes</x:v>
      </x:c>
    </x:row>
    <x:row r="442">
      <x:c r="A442" s="41" t="str">
        <x:v>TQN21</x:v>
      </x:c>
      <x:c r="B442" s="41" t="str">
        <x:v>Leg Extension/Leg Curl</x:v>
      </x:c>
      <x:c r="C442" s="41" t="str">
        <x:v>Strength</x:v>
      </x:c>
      <x:c r="D442" s="41" t="str">
        <x:v>Premier</x:v>
      </x:c>
      <x:c r="E442" s="41" t="str">
        <x:v>17</x:v>
      </x:c>
      <x:c r="F442" s="42" t="n">
        <x:v>5540</x:v>
      </x:c>
      <x:c r="G442" s="41" t="str">
        <x:v>Nos</x:v>
      </x:c>
      <x:c r="H442" s="41" t="n">
        <x:v>0</x:v>
      </x:c>
      <x:c r="I442" s="41" t="str">
        <x:v>Dimension 1290x1050x1635mm | Weight Stack: 96+4
6 kg | Net Weight 256 kg
10 years frame warranty</x:v>
      </x:c>
      <x:c r="J442" s="41" t="str">
        <x:v>Yes</x:v>
      </x:c>
      <x:c r="K442" s="41" t="str">
        <x:v>Yes</x:v>
      </x:c>
    </x:row>
    <x:row r="443">
      <x:c r="A443" s="41" t="str">
        <x:v>TQN14</x:v>
      </x:c>
      <x:c r="B443" s="41" t="str">
        <x:v>Prone Leg Curl</x:v>
      </x:c>
      <x:c r="C443" s="41" t="str">
        <x:v>Strength</x:v>
      </x:c>
      <x:c r="D443" s="41" t="str">
        <x:v>Premier</x:v>
      </x:c>
      <x:c r="E443" s="41" t="str">
        <x:v>17</x:v>
      </x:c>
      <x:c r="F443" s="42" t="n">
        <x:v>5200</x:v>
      </x:c>
      <x:c r="G443" s="41" t="str">
        <x:v>Nos</x:v>
      </x:c>
      <x:c r="H443" s="41" t="n">
        <x:v>0</x:v>
      </x:c>
      <x:c r="I443" s="41" t="str">
        <x:v>Dimension 1500x950x1400mm | Weight Stack: 96+4
6 kg | Net Weight 219 kg
10 years frame warranty</x:v>
      </x:c>
      <x:c r="J443" s="41" t="str">
        <x:v>Yes</x:v>
      </x:c>
      <x:c r="K443" s="41" t="str">
        <x:v>Yes</x:v>
      </x:c>
    </x:row>
    <x:row r="444">
      <x:c r="A444" s="41" t="str">
        <x:v>TQN22</x:v>
      </x:c>
      <x:c r="B444" s="41" t="str">
        <x:v>Abductor/Adductor</x:v>
      </x:c>
      <x:c r="C444" s="41" t="str">
        <x:v>Strength</x:v>
      </x:c>
      <x:c r="D444" s="41" t="str">
        <x:v>Premier</x:v>
      </x:c>
      <x:c r="E444" s="41" t="str">
        <x:v>17</x:v>
      </x:c>
      <x:c r="F444" s="42" t="n">
        <x:v>5540</x:v>
      </x:c>
      <x:c r="G444" s="41" t="str">
        <x:v>Nos</x:v>
      </x:c>
      <x:c r="H444" s="41" t="n">
        <x:v>0</x:v>
      </x:c>
      <x:c r="I444" s="41" t="str">
        <x:v>Dimension 1500x700x1400mm | Weight Stack: 96+4
6 kg | Net Weight 240 kg
10 years frame warranty</x:v>
      </x:c>
      <x:c r="J444" s="41" t="str">
        <x:v>Yes</x:v>
      </x:c>
      <x:c r="K444" s="41" t="str">
        <x:v>Yes</x:v>
      </x:c>
    </x:row>
    <x:row r="445">
      <x:c r="A445" s="41" t="str">
        <x:v>TQN07</x:v>
      </x:c>
      <x:c r="B445" s="41" t="str">
        <x:v>Rowing Machine</x:v>
      </x:c>
      <x:c r="C445" s="41" t="str">
        <x:v>Strength</x:v>
      </x:c>
      <x:c r="D445" s="41" t="str">
        <x:v>Premier</x:v>
      </x:c>
      <x:c r="E445" s="41" t="str">
        <x:v>17</x:v>
      </x:c>
      <x:c r="F445" s="42" t="n">
        <x:v>5200</x:v>
      </x:c>
      <x:c r="G445" s="41" t="str">
        <x:v>Nos</x:v>
      </x:c>
      <x:c r="H445" s="41" t="n">
        <x:v>0</x:v>
      </x:c>
      <x:c r="I445" s="41" t="str">
        <x:v>Dimension 1280x860x1915mm | Weight Stack: 96+4
6 kg | Net Weight 234 kg
10 years frame warranty</x:v>
      </x:c>
      <x:c r="J445" s="41" t="str">
        <x:v>Yes</x:v>
      </x:c>
      <x:c r="K445" s="41" t="str">
        <x:v>Yes</x:v>
      </x:c>
    </x:row>
    <x:row r="446">
      <x:c r="A446" s="41" t="str">
        <x:v>TQN26</x:v>
      </x:c>
      <x:c r="B446" s="41" t="str">
        <x:v>Abdominal Crunch/Low Back</x:v>
      </x:c>
      <x:c r="C446" s="41" t="str">
        <x:v>Strength</x:v>
      </x:c>
      <x:c r="D446" s="41" t="str">
        <x:v>Premier</x:v>
      </x:c>
      <x:c r="E446" s="41" t="str">
        <x:v>17</x:v>
      </x:c>
      <x:c r="F446" s="42" t="n">
        <x:v>5540</x:v>
      </x:c>
      <x:c r="G446" s="41" t="str">
        <x:v>Nos</x:v>
      </x:c>
      <x:c r="H446" s="41" t="n">
        <x:v>0</x:v>
      </x:c>
      <x:c r="I446" s="41" t="str">
        <x:v>Dimension 1165x1040x1400mm | Weight Stack: 96+4
6 kg | Net Weight 205 kg
10 years frame warranty</x:v>
      </x:c>
      <x:c r="J446" s="41" t="str">
        <x:v>Yes</x:v>
      </x:c>
      <x:c r="K446" s="41" t="str">
        <x:v>Yes</x:v>
      </x:c>
    </x:row>
    <x:row r="447">
      <x:c r="A447" s="41" t="str">
        <x:v>TQN19</x:v>
      </x:c>
      <x:c r="B447" s="41" t="str">
        <x:v>Abdominal Crunch</x:v>
      </x:c>
      <x:c r="C447" s="41" t="str">
        <x:v>Strength</x:v>
      </x:c>
      <x:c r="D447" s="41" t="str">
        <x:v>Premier</x:v>
      </x:c>
      <x:c r="E447" s="41" t="str">
        <x:v>17</x:v>
      </x:c>
      <x:c r="F447" s="42" t="n">
        <x:v>5200</x:v>
      </x:c>
      <x:c r="G447" s="41" t="str">
        <x:v>Nos</x:v>
      </x:c>
      <x:c r="H447" s="41" t="n">
        <x:v>0</x:v>
      </x:c>
      <x:c r="I447" s="41" t="str">
        <x:v>Dimension 1500x885x1400mm | Weight Stack: 96+4
6 kg | Net Weight 214 kg
10 years frame warranty</x:v>
      </x:c>
      <x:c r="J447" s="41" t="str">
        <x:v>Yes</x:v>
      </x:c>
      <x:c r="K447" s="41" t="str">
        <x:v>Yes</x:v>
      </x:c>
    </x:row>
    <x:row r="448">
      <x:c r="A448" s="41" t="str">
        <x:v>TQN02</x:v>
      </x:c>
      <x:c r="B448" s="41" t="str">
        <x:v>Pearl Delt/Pec Fly</x:v>
      </x:c>
      <x:c r="C448" s="41" t="str">
        <x:v>Strength</x:v>
      </x:c>
      <x:c r="D448" s="41" t="str">
        <x:v>Premier</x:v>
      </x:c>
      <x:c r="E448" s="41" t="str">
        <x:v>17</x:v>
      </x:c>
      <x:c r="F448" s="42" t="n">
        <x:v>5200</x:v>
      </x:c>
      <x:c r="G448" s="41" t="str">
        <x:v>Nos</x:v>
      </x:c>
      <x:c r="H448" s="41" t="n">
        <x:v>0</x:v>
      </x:c>
      <x:c r="I448" s="41" t="str">
        <x:v>Dimension 1260x1480x1980mm | Weight Stack: 96+4
6 kg | Net Weight 228 kg
10 years frame warranty</x:v>
      </x:c>
      <x:c r="J448" s="41" t="str">
        <x:v>Yes</x:v>
      </x:c>
      <x:c r="K448" s="41" t="str">
        <x:v>Yes</x:v>
      </x:c>
    </x:row>
    <x:row r="449">
      <x:c r="A449" s="41" t="str">
        <x:v>EPN20</x:v>
      </x:c>
      <x:c r="B449" s="41" t="str">
        <x:v>Shoulder Press / Seated Chest Press</x:v>
      </x:c>
      <x:c r="C449" s="41" t="str">
        <x:v>Strength</x:v>
      </x:c>
      <x:c r="D449" s="41" t="str">
        <x:v>Premier</x:v>
      </x:c>
      <x:c r="E449" s="41" t="str">
        <x:v>17</x:v>
      </x:c>
      <x:c r="F449" s="42" t="n">
        <x:v>7350</x:v>
      </x:c>
      <x:c r="G449" s="41" t="str">
        <x:v>Nos</x:v>
      </x:c>
      <x:c r="H449" s="41" t="n">
        <x:v>0</x:v>
      </x:c>
      <x:c r="I449" s="41" t="str">
        <x:v>Dimension 1940×1390×1600mm | Weight Stack: 96+4
6 kg | Net Weight: 251kg
10 years frame warranty</x:v>
      </x:c>
      <x:c r="J449" s="41" t="str">
        <x:v>Yes</x:v>
      </x:c>
      <x:c r="K449" s="41" t="str">
        <x:v>Yes</x:v>
      </x:c>
    </x:row>
    <x:row r="450">
      <x:c r="A450" s="41" t="str">
        <x:v>TQN06</x:v>
      </x:c>
      <x:c r="B450" s="41" t="str">
        <x:v>Lat Pulldown</x:v>
      </x:c>
      <x:c r="C450" s="41" t="str">
        <x:v>Strength</x:v>
      </x:c>
      <x:c r="D450" s="41" t="str">
        <x:v>Premier</x:v>
      </x:c>
      <x:c r="E450" s="41" t="str">
        <x:v>17</x:v>
      </x:c>
      <x:c r="F450" s="42" t="n">
        <x:v>5200</x:v>
      </x:c>
      <x:c r="G450" s="41" t="str">
        <x:v>Nos</x:v>
      </x:c>
      <x:c r="H450" s="41" t="n">
        <x:v>0</x:v>
      </x:c>
      <x:c r="I450" s="41" t="str">
        <x:v>Dimension 1480x870x2265mm | Weight Stack: 96+4
6 kg | Net Weight 202 kg
10 years frame warranty</x:v>
      </x:c>
      <x:c r="J450" s="41" t="str">
        <x:v>Yes</x:v>
      </x:c>
      <x:c r="K450" s="41" t="str">
        <x:v>Yes</x:v>
      </x:c>
    </x:row>
    <x:row r="451">
      <x:c r="A451" s="41" t="str">
        <x:v>TQN30</x:v>
      </x:c>
      <x:c r="B451" s="41" t="str">
        <x:v>Multi Functional Smith Trainer</x:v>
      </x:c>
      <x:c r="C451" s="41" t="str">
        <x:v>Strength</x:v>
      </x:c>
      <x:c r="D451" s="41" t="str">
        <x:v>Premier</x:v>
      </x:c>
      <x:c r="E451" s="41" t="str">
        <x:v>17</x:v>
      </x:c>
      <x:c r="F451" s="42" t="n">
        <x:v>10180</x:v>
      </x:c>
      <x:c r="G451" s="41" t="str">
        <x:v>Nos</x:v>
      </x:c>
      <x:c r="H451" s="41" t="n">
        <x:v>0</x:v>
      </x:c>
      <x:c r="I451" s="41" t="str">
        <x:v>Dimension 1490x1910x2320mm | Weight Stack : 60kgx2
Net Weight: 454kg
10 years frame warranty</x:v>
      </x:c>
      <x:c r="J451" s="41" t="str">
        <x:v>Yes</x:v>
      </x:c>
      <x:c r="K451" s="41" t="str">
        <x:v>Yes</x:v>
      </x:c>
    </x:row>
    <x:row r="452">
      <x:c r="A452" s="41" t="str">
        <x:v>EPN21</x:v>
      </x:c>
      <x:c r="B452" s="41" t="str">
        <x:v>Biceps / Triceps Curl</x:v>
      </x:c>
      <x:c r="C452" s="41" t="str">
        <x:v>Strength</x:v>
      </x:c>
      <x:c r="D452" s="41" t="str">
        <x:v>Premier</x:v>
      </x:c>
      <x:c r="E452" s="41" t="str">
        <x:v>17</x:v>
      </x:c>
      <x:c r="F452" s="42" t="n">
        <x:v>7350</x:v>
      </x:c>
      <x:c r="G452" s="41" t="str">
        <x:v>Nos</x:v>
      </x:c>
      <x:c r="H452" s="41" t="n">
        <x:v>0</x:v>
      </x:c>
      <x:c r="I452" s="41" t="str">
        <x:v>Dimension 1340×1150×1600mm | Weight Stack: 96+4
6 kg | Net Weight: 243kg
10 years frame warranty</x:v>
      </x:c>
      <x:c r="J452" s="41" t="str">
        <x:v>Yes</x:v>
      </x:c>
      <x:c r="K452" s="41" t="str">
        <x:v>Yes</x:v>
      </x:c>
    </x:row>
    <x:row r="453">
      <x:c r="A453" s="41" t="str">
        <x:v>TQN16</x:v>
      </x:c>
      <x:c r="B453" s="41" t="str">
        <x:v>Inner Thigh Abductor</x:v>
      </x:c>
      <x:c r="C453" s="41" t="str">
        <x:v>Strength</x:v>
      </x:c>
      <x:c r="D453" s="41" t="str">
        <x:v>Premier</x:v>
      </x:c>
      <x:c r="E453" s="41" t="str">
        <x:v>17</x:v>
      </x:c>
      <x:c r="F453" s="42" t="n">
        <x:v>5200</x:v>
      </x:c>
      <x:c r="G453" s="41" t="str">
        <x:v>Nos</x:v>
      </x:c>
      <x:c r="H453" s="41" t="n">
        <x:v>0</x:v>
      </x:c>
      <x:c r="I453" s="41" t="str">
        <x:v>Dimension 1500x700x1400mm | Weight Stack: 96+4
6 kg | Net Weight 229 kg
10 years frame warranty</x:v>
      </x:c>
      <x:c r="J453" s="41" t="str">
        <x:v>Yes</x:v>
      </x:c>
      <x:c r="K453" s="41" t="str">
        <x:v>Yes</x:v>
      </x:c>
    </x:row>
    <x:row r="454">
      <x:c r="A454" s="41" t="str">
        <x:v>TQN18</x:v>
      </x:c>
      <x:c r="B454" s="41" t="str">
        <x:v>Multi Hip</x:v>
      </x:c>
      <x:c r="C454" s="41" t="str">
        <x:v>Strength</x:v>
      </x:c>
      <x:c r="D454" s="41" t="str">
        <x:v>Premier</x:v>
      </x:c>
      <x:c r="E454" s="41" t="str">
        <x:v>17</x:v>
      </x:c>
      <x:c r="F454" s="42" t="n">
        <x:v>5660</x:v>
      </x:c>
      <x:c r="G454" s="41" t="str">
        <x:v>Nos</x:v>
      </x:c>
      <x:c r="H454" s="41" t="n">
        <x:v>0</x:v>
      </x:c>
      <x:c r="I454" s="41" t="str">
        <x:v>Dimension 1735x1050x1800mm | Weight Stack: 96+4
6 kg | Net Weight 240 kg
10 years frame warranty</x:v>
      </x:c>
      <x:c r="J454" s="41" t="str">
        <x:v>Yes</x:v>
      </x:c>
      <x:c r="K454" s="41" t="str">
        <x:v>Yes</x:v>
      </x:c>
    </x:row>
    <x:row r="455">
      <x:c r="A455" s="41" t="str">
        <x:v>TQN28</x:v>
      </x:c>
      <x:c r="B455" s="41" t="str">
        <x:v>Standing Deltoid</x:v>
      </x:c>
      <x:c r="C455" s="41" t="str">
        <x:v>Strength</x:v>
      </x:c>
      <x:c r="D455" s="41" t="str">
        <x:v>Premier</x:v>
      </x:c>
      <x:c r="E455" s="41" t="str">
        <x:v>17</x:v>
      </x:c>
      <x:c r="F455" s="42" t="n">
        <x:v>3850</x:v>
      </x:c>
      <x:c r="G455" s="41" t="str">
        <x:v>Nos</x:v>
      </x:c>
      <x:c r="H455" s="41" t="n">
        <x:v>0</x:v>
      </x:c>
      <x:c r="I455" s="41" t="str">
        <x:v>Dimension: 1450x810x1500mm | Weight Stack: 80Kg
Net Weight: 148kg
10 years frame warranty</x:v>
      </x:c>
      <x:c r="J455" s="41" t="str">
        <x:v>Yes</x:v>
      </x:c>
      <x:c r="K455" s="41" t="str">
        <x:v>Yes</x:v>
      </x:c>
    </x:row>
    <x:row r="456">
      <x:c r="A456" s="41" t="str">
        <x:v>TQN11</x:v>
      </x:c>
      <x:c r="B456" s="41" t="str">
        <x:v>Leg Press</x:v>
      </x:c>
      <x:c r="C456" s="41" t="str">
        <x:v>Strength</x:v>
      </x:c>
      <x:c r="D456" s="41" t="str">
        <x:v>Premier</x:v>
      </x:c>
      <x:c r="E456" s="41" t="str">
        <x:v>17</x:v>
      </x:c>
      <x:c r="F456" s="42" t="n">
        <x:v>10290</x:v>
      </x:c>
      <x:c r="G456" s="41" t="str">
        <x:v>Nos</x:v>
      </x:c>
      <x:c r="H456" s="41" t="n">
        <x:v>0</x:v>
      </x:c>
      <x:c r="I456" s="41" t="str">
        <x:v>Dimension 1860x1070x1800mm | Weight Stack: 124+4
6 kg | Net Weight 334 kg
10 years frame warranty</x:v>
      </x:c>
      <x:c r="J456" s="41" t="str">
        <x:v>Yes</x:v>
      </x:c>
      <x:c r="K456" s="41" t="str">
        <x:v>Yes</x:v>
      </x:c>
    </x:row>
    <x:row r="457">
      <x:c r="A457" s="41" t="str">
        <x:v>TQN15</x:v>
      </x:c>
      <x:c r="B457" s="41" t="str">
        <x:v>Outer Thigh Abductor</x:v>
      </x:c>
      <x:c r="C457" s="41" t="str">
        <x:v>Strength</x:v>
      </x:c>
      <x:c r="D457" s="41" t="str">
        <x:v>Premier</x:v>
      </x:c>
      <x:c r="E457" s="41" t="str">
        <x:v>17</x:v>
      </x:c>
      <x:c r="F457" s="42" t="n">
        <x:v>5200</x:v>
      </x:c>
      <x:c r="G457" s="41" t="str">
        <x:v>Nos</x:v>
      </x:c>
      <x:c r="H457" s="41" t="n">
        <x:v>0</x:v>
      </x:c>
      <x:c r="I457" s="41" t="str">
        <x:v>Dimension 1500x700x1400mm | Weight Stack: 96+4
6 kg | Net Weight 228 kg
10 years frame warranty</x:v>
      </x:c>
      <x:c r="J457" s="41" t="str">
        <x:v>Yes</x:v>
      </x:c>
      <x:c r="K457" s="41" t="str">
        <x:v>Yes</x:v>
      </x:c>
    </x:row>
    <x:row r="458">
      <x:c r="A458" s="41" t="str">
        <x:v>TQN23</x:v>
      </x:c>
      <x:c r="B458" s="41" t="str">
        <x:v>Lat Pulldown/Low Row</x:v>
      </x:c>
      <x:c r="C458" s="41" t="str">
        <x:v>Strength</x:v>
      </x:c>
      <x:c r="D458" s="41" t="str">
        <x:v>Premier</x:v>
      </x:c>
      <x:c r="E458" s="41" t="str">
        <x:v>17</x:v>
      </x:c>
      <x:c r="F458" s="42" t="n">
        <x:v>5540</x:v>
      </x:c>
      <x:c r="G458" s="41" t="str">
        <x:v>Nos</x:v>
      </x:c>
      <x:c r="H458" s="41" t="n">
        <x:v>0</x:v>
      </x:c>
      <x:c r="I458" s="41" t="str">
        <x:v>Dimension 2150x850x2260mm | Weight Stack: 96+4
6 kg | Net Weight 250 kg
10 years frame warranty</x:v>
      </x:c>
      <x:c r="J458" s="41" t="str">
        <x:v>Yes</x:v>
      </x:c>
      <x:c r="K458" s="41" t="str">
        <x:v>Yes</x:v>
      </x:c>
    </x:row>
    <x:row r="459">
      <x:c r="A459" s="41" t="str">
        <x:v>TQN20</x:v>
      </x:c>
      <x:c r="B459" s="41" t="str">
        <x:v>Low row</x:v>
      </x:c>
      <x:c r="C459" s="41" t="str">
        <x:v>Strength</x:v>
      </x:c>
      <x:c r="D459" s="41" t="str">
        <x:v>Premier</x:v>
      </x:c>
      <x:c r="E459" s="41" t="str">
        <x:v>17</x:v>
      </x:c>
      <x:c r="F459" s="42" t="n">
        <x:v>5200</x:v>
      </x:c>
      <x:c r="G459" s="41" t="str">
        <x:v>Nos</x:v>
      </x:c>
      <x:c r="H459" s="41" t="n">
        <x:v>0</x:v>
      </x:c>
      <x:c r="I459" s="41" t="str">
        <x:v>Dimension 1980x850x1800mm | Weight Stack: 96+4
6 kg | Net Weight 230 kg
10 years frame warranty</x:v>
      </x:c>
      <x:c r="J459" s="41" t="str">
        <x:v>Yes</x:v>
      </x:c>
      <x:c r="K459" s="41" t="str">
        <x:v>Yes</x:v>
      </x:c>
    </x:row>
    <x:row r="460">
      <x:c r="A460" s="41" t="str">
        <x:v>TQN09</x:v>
      </x:c>
      <x:c r="B460" s="41" t="str">
        <x:v>Triceps Curl</x:v>
      </x:c>
      <x:c r="C460" s="41" t="str">
        <x:v>Strength</x:v>
      </x:c>
      <x:c r="D460" s="41" t="str">
        <x:v>Premier</x:v>
      </x:c>
      <x:c r="E460" s="41" t="str">
        <x:v>17</x:v>
      </x:c>
      <x:c r="F460" s="42" t="n">
        <x:v>5200</x:v>
      </x:c>
      <x:c r="G460" s="41" t="str">
        <x:v>Nos</x:v>
      </x:c>
      <x:c r="H460" s="41" t="n">
        <x:v>0</x:v>
      </x:c>
      <x:c r="I460" s="41" t="str">
        <x:v>Dimension 1140x1100x1400mm | Weight Stack: 96+4
6 kg | Net Weight 209 kg
10 years frame warranty</x:v>
      </x:c>
      <x:c r="J460" s="41" t="str">
        <x:v>Yes</x:v>
      </x:c>
      <x:c r="K460" s="41" t="str">
        <x:v>Yes</x:v>
      </x:c>
    </x:row>
    <x:row r="461">
      <x:c r="A461" s="41" t="str">
        <x:v>TQN12</x:v>
      </x:c>
      <x:c r="B461" s="41" t="str">
        <x:v>Leg Extension</x:v>
      </x:c>
      <x:c r="C461" s="41" t="str">
        <x:v>Strength</x:v>
      </x:c>
      <x:c r="D461" s="41" t="str">
        <x:v>Premier</x:v>
      </x:c>
      <x:c r="E461" s="41" t="str">
        <x:v>17</x:v>
      </x:c>
      <x:c r="F461" s="42" t="n">
        <x:v>5200</x:v>
      </x:c>
      <x:c r="G461" s="41" t="str">
        <x:v>Nos</x:v>
      </x:c>
      <x:c r="H461" s="41" t="n">
        <x:v>0</x:v>
      </x:c>
      <x:c r="I461" s="41" t="str">
        <x:v>Dimension 1290*1050*1635mm | Weight Stack: 96+4
6 kg | Net Weight 236 kg
10 years frame warranty</x:v>
      </x:c>
      <x:c r="J461" s="41" t="str">
        <x:v>Yes</x:v>
      </x:c>
      <x:c r="K461" s="41" t="str">
        <x:v>Yes</x:v>
      </x:c>
    </x:row>
    <x:row r="462">
      <x:c r="A462" s="41" t="str">
        <x:v>TQN25</x:v>
      </x:c>
      <x:c r="B462" s="41" t="str">
        <x:v>Chest Press/ Shoulder Press</x:v>
      </x:c>
      <x:c r="C462" s="41" t="str">
        <x:v>Strength</x:v>
      </x:c>
      <x:c r="D462" s="41" t="str">
        <x:v>Premier</x:v>
      </x:c>
      <x:c r="E462" s="41" t="str">
        <x:v>17</x:v>
      </x:c>
      <x:c r="F462" s="42" t="n">
        <x:v>5540</x:v>
      </x:c>
      <x:c r="G462" s="41" t="str">
        <x:v>Nos</x:v>
      </x:c>
      <x:c r="H462" s="41" t="n">
        <x:v>0</x:v>
      </x:c>
      <x:c r="I462" s="41" t="str">
        <x:v>Dimension 1885*1400*1635mm | Weight Stack: 96+4
6 kg | Net Weight 270 kg
10 years frame warranty</x:v>
      </x:c>
      <x:c r="J462" s="41" t="str">
        <x:v>Yes</x:v>
      </x:c>
      <x:c r="K462" s="41" t="str">
        <x:v>Yes</x:v>
      </x:c>
    </x:row>
    <x:row r="463">
      <x:c r="A463" s="41" t="str">
        <x:v>EPN22</x:v>
      </x:c>
      <x:c r="B463" s="41" t="str">
        <x:v>Lat Pulldown / Low Row</x:v>
      </x:c>
      <x:c r="C463" s="41" t="str">
        <x:v>Strength</x:v>
      </x:c>
      <x:c r="D463" s="41" t="str">
        <x:v>Premier</x:v>
      </x:c>
      <x:c r="E463" s="41" t="str">
        <x:v>17</x:v>
      </x:c>
      <x:c r="F463" s="42" t="n">
        <x:v>7350</x:v>
      </x:c>
      <x:c r="G463" s="41" t="str">
        <x:v>Nos</x:v>
      </x:c>
      <x:c r="H463" s="41" t="n">
        <x:v>0</x:v>
      </x:c>
      <x:c r="I463" s="41" t="str">
        <x:v>Dimension 2140×1350×2420mm | Weight Stack: 96+4
6 kg | Net Weight: 265kg
10 years frame warranty</x:v>
      </x:c>
      <x:c r="J463" s="41" t="str">
        <x:v>Yes</x:v>
      </x:c>
      <x:c r="K463" s="41" t="str">
        <x:v>Yes</x:v>
      </x:c>
    </x:row>
    <x:row r="464">
      <x:c r="A464" s="41" t="str">
        <x:v>EPN24</x:v>
      </x:c>
      <x:c r="B464" s="41" t="str">
        <x:v>Abductor / Adductor</x:v>
      </x:c>
      <x:c r="C464" s="41" t="str">
        <x:v>Strength</x:v>
      </x:c>
      <x:c r="D464" s="41" t="str">
        <x:v>Premier</x:v>
      </x:c>
      <x:c r="E464" s="41" t="str">
        <x:v>17</x:v>
      </x:c>
      <x:c r="F464" s="42" t="n">
        <x:v>7350</x:v>
      </x:c>
      <x:c r="G464" s="41" t="str">
        <x:v>Nos</x:v>
      </x:c>
      <x:c r="H464" s="41" t="n">
        <x:v>0</x:v>
      </x:c>
      <x:c r="I464" s="41" t="str">
        <x:v>Dimension1690×1600×1600mm | Weight Stack: 96+4
6 kg | Net Weight: 275kg
10 years frame warranty</x:v>
      </x:c>
      <x:c r="J464" s="41" t="str">
        <x:v>Yes</x:v>
      </x:c>
      <x:c r="K464" s="41" t="str">
        <x:v>Yes</x:v>
      </x:c>
    </x:row>
    <x:row r="465">
      <x:c r="A465" s="41" t="str">
        <x:v>TQN29</x:v>
      </x:c>
      <x:c r="B465" s="41" t="str">
        <x:v>Forearm Machine (Wrist Curl)</x:v>
      </x:c>
      <x:c r="C465" s="41" t="str">
        <x:v>Strength</x:v>
      </x:c>
      <x:c r="D465" s="41" t="str">
        <x:v>Premier</x:v>
      </x:c>
      <x:c r="E465" s="41" t="str">
        <x:v>17</x:v>
      </x:c>
      <x:c r="F465" s="42" t="n">
        <x:v>2720</x:v>
      </x:c>
      <x:c r="G465" s="41" t="str">
        <x:v>Nos</x:v>
      </x:c>
      <x:c r="H465" s="41" t="n">
        <x:v>0</x:v>
      </x:c>
      <x:c r="I465" s="41" t="str">
        <x:v>Dimension :535×640×950mm
Net Weight: 110kg
10 years frame warranty</x:v>
      </x:c>
      <x:c r="J465" s="41" t="str">
        <x:v>Yes</x:v>
      </x:c>
      <x:c r="K465" s="41" t="str">
        <x:v>Yes</x:v>
      </x:c>
    </x:row>
    <x:row r="466">
      <x:c r="A466" s="41" t="str">
        <x:v>EPN23</x:v>
      </x:c>
      <x:c r="B466" s="41" t="str">
        <x:v>Leg Curl / Extension</x:v>
      </x:c>
      <x:c r="C466" s="41" t="str">
        <x:v>Strength</x:v>
      </x:c>
      <x:c r="D466" s="41" t="str">
        <x:v>Premier</x:v>
      </x:c>
      <x:c r="E466" s="41" t="str">
        <x:v>17</x:v>
      </x:c>
      <x:c r="F466" s="42" t="n">
        <x:v>7350</x:v>
      </x:c>
      <x:c r="G466" s="41" t="str">
        <x:v>Nos</x:v>
      </x:c>
      <x:c r="H466" s="41" t="n">
        <x:v>0</x:v>
      </x:c>
      <x:c r="I466" s="41" t="str">
        <x:v>Dimension1390×1190×1600mm | Weight Stack: 96+4
6 kg | Net Weight: 299kg
10 years frame warranty</x:v>
      </x:c>
      <x:c r="J466" s="41" t="str">
        <x:v>Yes</x:v>
      </x:c>
      <x:c r="K466" s="41" t="str">
        <x:v>Yes</x:v>
      </x:c>
    </x:row>
    <x:row r="467">
      <x:c r="A467" s="41" t="str">
        <x:v>TQN01</x:v>
      </x:c>
      <x:c r="B467" s="41" t="str">
        <x:v>Chest Press</x:v>
      </x:c>
      <x:c r="C467" s="41" t="str">
        <x:v>Strength</x:v>
      </x:c>
      <x:c r="D467" s="41" t="str">
        <x:v>Premier</x:v>
      </x:c>
      <x:c r="E467" s="41" t="str">
        <x:v>17</x:v>
      </x:c>
      <x:c r="F467" s="42" t="n">
        <x:v>5200</x:v>
      </x:c>
      <x:c r="G467" s="41" t="str">
        <x:v>Nos</x:v>
      </x:c>
      <x:c r="H467" s="41" t="n">
        <x:v>0</x:v>
      </x:c>
      <x:c r="I467" s="41" t="str">
        <x:v>Dimension 1500x1100x1630mm | Weight Stack: 96+4
6 kg | Net Weight 229 kg
10 years frame warranty</x:v>
      </x:c>
      <x:c r="J467" s="41" t="str">
        <x:v>Yes</x:v>
      </x:c>
      <x:c r="K467" s="41" t="str">
        <x:v>Yes</x:v>
      </x:c>
    </x:row>
    <x:row r="468">
      <x:c r="A468" s="41" t="str">
        <x:v>TQN10</x:v>
      </x:c>
      <x:c r="B468" s="41" t="str">
        <x:v>Dip/Chin Assist</x:v>
      </x:c>
      <x:c r="C468" s="41" t="str">
        <x:v>Strength</x:v>
      </x:c>
      <x:c r="D468" s="41" t="str">
        <x:v>Premier</x:v>
      </x:c>
      <x:c r="E468" s="41" t="str">
        <x:v>17</x:v>
      </x:c>
      <x:c r="F468" s="42" t="n">
        <x:v>5200</x:v>
      </x:c>
      <x:c r="G468" s="41" t="str">
        <x:v>Nos</x:v>
      </x:c>
      <x:c r="H468" s="41" t="n">
        <x:v>0</x:v>
      </x:c>
      <x:c r="I468" s="41" t="str">
        <x:v>Dimension 1200x1100x2200mm | Weight Stack: 96+4
6 kg | Net Weight 304 kg
10 years frame warranty</x:v>
      </x:c>
      <x:c r="J468" s="41" t="str">
        <x:v>Yes</x:v>
      </x:c>
      <x:c r="K468" s="41" t="str">
        <x:v>Yes</x:v>
      </x:c>
    </x:row>
    <x:row r="469">
      <x:c r="A469" s="41" t="str">
        <x:v>TQN27</x:v>
      </x:c>
      <x:c r="B469" s="41" t="str">
        <x:v>Prone Leg Curl/ Leg Extension</x:v>
      </x:c>
      <x:c r="C469" s="41" t="str">
        <x:v>Strength</x:v>
      </x:c>
      <x:c r="D469" s="41" t="str">
        <x:v>Premier</x:v>
      </x:c>
      <x:c r="E469" s="41" t="str">
        <x:v>17</x:v>
      </x:c>
      <x:c r="F469" s="42" t="n">
        <x:v>5540</x:v>
      </x:c>
      <x:c r="G469" s="41" t="str">
        <x:v>Nos</x:v>
      </x:c>
      <x:c r="H469" s="41" t="n">
        <x:v>0</x:v>
      </x:c>
      <x:c r="I469" s="41" t="str">
        <x:v>Dimension 1540x1050x1635mm | Weight Stack: 96+4
6 kg | Net Weight 225 kg
10 years frame warranty</x:v>
      </x:c>
      <x:c r="J469" s="41" t="str">
        <x:v>Yes</x:v>
      </x:c>
      <x:c r="K469" s="41" t="str">
        <x:v>Yes</x:v>
      </x:c>
    </x:row>
    <x:row r="470">
      <x:c r="A470" s="41" t="str">
        <x:v>PXN-025</x:v>
      </x:c>
      <x:c r="B470" s="41" t="str">
        <x:v>Abdominal Crunch / Low Back</x:v>
      </x:c>
      <x:c r="C470" s="41" t="str">
        <x:v>Strength</x:v>
      </x:c>
      <x:c r="D470" s="41" t="str">
        <x:v>Premier</x:v>
      </x:c>
      <x:c r="E470" s="41" t="str">
        <x:v>17</x:v>
      </x:c>
      <x:c r="F470" s="42" t="n">
        <x:v>7350</x:v>
      </x:c>
      <x:c r="G470" s="41" t="str">
        <x:v>Nos</x:v>
      </x:c>
      <x:c r="H470" s="41" t="n">
        <x:v>0</x:v>
      </x:c>
      <x:c r="I470" s="41" t="str">
        <x:v>Dimension1290×1160×1600mm | Weight Stack: 96+4
6 kg | Net Weight: 255kg
10 years frame warranty</x:v>
      </x:c>
      <x:c r="J470" s="41" t="str">
        <x:v>Yes</x:v>
      </x:c>
      <x:c r="K470" s="41" t="str">
        <x:v>Yes</x:v>
      </x:c>
    </x:row>
    <x:row r="471">
      <x:c r="A471" s="41" t="str">
        <x:v>TQN04</x:v>
      </x:c>
      <x:c r="B471" s="41" t="str">
        <x:v>Lateral Raise</x:v>
      </x:c>
      <x:c r="C471" s="41" t="str">
        <x:v>Strength</x:v>
      </x:c>
      <x:c r="D471" s="41" t="str">
        <x:v>Premier</x:v>
      </x:c>
      <x:c r="E471" s="41" t="str">
        <x:v>17</x:v>
      </x:c>
      <x:c r="F471" s="42" t="n">
        <x:v>5200</x:v>
      </x:c>
      <x:c r="G471" s="41" t="str">
        <x:v>Nos</x:v>
      </x:c>
      <x:c r="H471" s="41" t="n">
        <x:v>0</x:v>
      </x:c>
      <x:c r="I471" s="41" t="str">
        <x:v>Dimension 1100x1000x1630mm | Weight Stack: 96+4
6 kg | Net Weight 233 kg
10 years frame warranty</x:v>
      </x:c>
      <x:c r="J471" s="41" t="str">
        <x:v>Yes</x:v>
      </x:c>
      <x:c r="K471" s="41" t="str">
        <x:v>Yes</x:v>
      </x:c>
    </x:row>
    <x:row r="472">
      <x:c r="A472" s="41" t="str">
        <x:v>EPN19</x:v>
      </x:c>
      <x:c r="B472" s="41" t="str">
        <x:v>Rotary Torso</x:v>
      </x:c>
      <x:c r="C472" s="41" t="str">
        <x:v>Strength</x:v>
      </x:c>
      <x:c r="D472" s="41" t="str">
        <x:v>Premier</x:v>
      </x:c>
      <x:c r="E472" s="41" t="str">
        <x:v>17</x:v>
      </x:c>
      <x:c r="F472" s="42" t="n">
        <x:v>7010</x:v>
      </x:c>
      <x:c r="G472" s="41" t="str">
        <x:v>Nos</x:v>
      </x:c>
      <x:c r="H472" s="41" t="n">
        <x:v>0</x:v>
      </x:c>
      <x:c r="I472" s="41" t="str">
        <x:v>Dimension 1080×1210×1660mm | Weight Stack: 96+4
6 kg | Net Weight: 251kg
10 years frame warranty</x:v>
      </x:c>
      <x:c r="J472" s="41" t="str">
        <x:v>Yes</x:v>
      </x:c>
      <x:c r="K472" s="41" t="str">
        <x:v>Yes</x:v>
      </x:c>
    </x:row>
    <x:row r="473">
      <x:c r="A473" s="41" t="str">
        <x:v>EPN09</x:v>
      </x:c>
      <x:c r="B473" s="41" t="str">
        <x:v>Low Row</x:v>
      </x:c>
      <x:c r="C473" s="41" t="str">
        <x:v>Strength</x:v>
      </x:c>
      <x:c r="D473" s="41" t="str">
        <x:v>Premier</x:v>
      </x:c>
      <x:c r="E473" s="41" t="str">
        <x:v>17</x:v>
      </x:c>
      <x:c r="F473" s="42" t="n">
        <x:v>7010</x:v>
      </x:c>
      <x:c r="G473" s="41" t="str">
        <x:v>Nos</x:v>
      </x:c>
      <x:c r="H473" s="41" t="n">
        <x:v>0</x:v>
      </x:c>
      <x:c r="I473" s="41" t="str">
        <x:v>Dimension 1840×790×1840mm | Weight Stack: 96+4
6 kg | Net Weight: 239kg
10 years frame warranty</x:v>
      </x:c>
      <x:c r="J473" s="41" t="str">
        <x:v>Yes</x:v>
      </x:c>
      <x:c r="K473" s="41" t="str">
        <x:v>Yes</x:v>
      </x:c>
    </x:row>
    <x:row r="474">
      <x:c r="A474" s="41" t="str">
        <x:v>EPN14</x:v>
      </x:c>
      <x:c r="B474" s="41" t="str">
        <x:v>Leg Press</x:v>
      </x:c>
      <x:c r="C474" s="41" t="str">
        <x:v>Strength</x:v>
      </x:c>
      <x:c r="D474" s="41" t="str">
        <x:v>Premier</x:v>
      </x:c>
      <x:c r="E474" s="41" t="str">
        <x:v>17</x:v>
      </x:c>
      <x:c r="F474" s="42" t="n">
        <x:v>11430</x:v>
      </x:c>
      <x:c r="G474" s="41" t="str">
        <x:v>Nos</x:v>
      </x:c>
      <x:c r="H474" s="41" t="n">
        <x:v>0</x:v>
      </x:c>
      <x:c r="I474" s="41" t="str">
        <x:v>Dimension 2020×1100×1630mm | Weight Stack: 96+4
6 kg | Net Weight: 311
5kg | 10 years frame warranty</x:v>
      </x:c>
      <x:c r="J474" s="41" t="str">
        <x:v>Yes</x:v>
      </x:c>
      <x:c r="K474" s="41" t="str">
        <x:v>Yes</x:v>
      </x:c>
    </x:row>
    <x:row r="475">
      <x:c r="A475" s="41" t="str">
        <x:v>PXL53</x:v>
      </x:c>
      <x:c r="B475" s="41" t="str">
        <x:v>Adjustable Bench</x:v>
      </x:c>
      <x:c r="C475" s="41" t="str">
        <x:v>Strength</x:v>
      </x:c>
      <x:c r="D475" s="41" t="str">
        <x:v>Premier</x:v>
      </x:c>
      <x:c r="E475" s="41" t="str">
        <x:v>17</x:v>
      </x:c>
      <x:c r="F475" s="42" t="n">
        <x:v>1810</x:v>
      </x:c>
      <x:c r="G475" s="41" t="str">
        <x:v>Nos</x:v>
      </x:c>
      <x:c r="H475" s="41" t="n">
        <x:v>0</x:v>
      </x:c>
      <x:c r="I475" s="41" t="str">
        <x:v>Dimension 1410x680x450mm
Net Weight: 45kg
10 years frame warranty</x:v>
      </x:c>
      <x:c r="J475" s="41" t="str">
        <x:v>Yes</x:v>
      </x:c>
      <x:c r="K475" s="41" t="str">
        <x:v>Yes</x:v>
      </x:c>
    </x:row>
    <x:row r="476">
      <x:c r="A476" s="41" t="str">
        <x:v>EPN16</x:v>
      </x:c>
      <x:c r="B476" s="41" t="str">
        <x:v>Outer Thigh Abductor</x:v>
      </x:c>
      <x:c r="C476" s="41" t="str">
        <x:v>Strength</x:v>
      </x:c>
      <x:c r="D476" s="41" t="str">
        <x:v>Premier</x:v>
      </x:c>
      <x:c r="E476" s="41" t="str">
        <x:v>17</x:v>
      </x:c>
      <x:c r="F476" s="42" t="n">
        <x:v>7010</x:v>
      </x:c>
      <x:c r="G476" s="41" t="str">
        <x:v>Nos</x:v>
      </x:c>
      <x:c r="H476" s="41" t="n">
        <x:v>0</x:v>
      </x:c>
      <x:c r="I476" s="41" t="str">
        <x:v>Dimension 1690×1580×1600mm | Weight Stack: 96+4
6 kg | Net Weight: 250kg
10 years frame warranty</x:v>
      </x:c>
      <x:c r="J476" s="41" t="str">
        <x:v>Yes</x:v>
      </x:c>
      <x:c r="K476" s="41" t="str">
        <x:v>Yes</x:v>
      </x:c>
    </x:row>
    <x:row r="477">
      <x:c r="A477" s="41" t="str">
        <x:v>PXL56</x:v>
      </x:c>
      <x:c r="B477" s="41" t="str">
        <x:v>Adjustable Bench</x:v>
      </x:c>
      <x:c r="C477" s="41" t="str">
        <x:v>Strength</x:v>
      </x:c>
      <x:c r="D477" s="41" t="str">
        <x:v>Premier</x:v>
      </x:c>
      <x:c r="E477" s="41" t="str">
        <x:v>17</x:v>
      </x:c>
      <x:c r="F477" s="42" t="n">
        <x:v>2150</x:v>
      </x:c>
      <x:c r="G477" s="41" t="str">
        <x:v>Nos</x:v>
      </x:c>
      <x:c r="H477" s="41" t="n">
        <x:v>0</x:v>
      </x:c>
      <x:c r="I477" s="41" t="str">
        <x:v>Dimension 1570×680×490mm
Net Weight: 52kg
10 years frame warranty</x:v>
      </x:c>
      <x:c r="J477" s="41" t="str">
        <x:v>Yes</x:v>
      </x:c>
      <x:c r="K477" s="41" t="str">
        <x:v>Yes</x:v>
      </x:c>
    </x:row>
    <x:row r="478">
      <x:c r="A478" s="41" t="str">
        <x:v>PXL55</x:v>
      </x:c>
      <x:c r="B478" s="41" t="str">
        <x:v>Adjustable Bench</x:v>
      </x:c>
      <x:c r="C478" s="41" t="str">
        <x:v>Strength</x:v>
      </x:c>
      <x:c r="D478" s="41" t="str">
        <x:v>Premier</x:v>
      </x:c>
      <x:c r="E478" s="41" t="str">
        <x:v>17</x:v>
      </x:c>
      <x:c r="F478" s="42" t="n">
        <x:v>2150</x:v>
      </x:c>
      <x:c r="G478" s="41" t="str">
        <x:v>Nos</x:v>
      </x:c>
      <x:c r="H478" s="41" t="n">
        <x:v>0</x:v>
      </x:c>
      <x:c r="I478" s="41" t="str">
        <x:v>Dimension 1610×610×490mm
Net Weight: 60kg
10 years frame warranty</x:v>
      </x:c>
      <x:c r="J478" s="41" t="str">
        <x:v>Yes</x:v>
      </x:c>
      <x:c r="K478" s="41" t="str">
        <x:v>Yes</x:v>
      </x:c>
    </x:row>
    <x:row r="479">
      <x:c r="A479" s="41" t="str">
        <x:v>EPN05</x:v>
      </x:c>
      <x:c r="B479" s="41" t="str">
        <x:v>Biceps Curl</x:v>
      </x:c>
      <x:c r="C479" s="41" t="str">
        <x:v>Strength</x:v>
      </x:c>
      <x:c r="D479" s="41" t="str">
        <x:v>Premier</x:v>
      </x:c>
      <x:c r="E479" s="41" t="str">
        <x:v>17</x:v>
      </x:c>
      <x:c r="F479" s="42" t="n">
        <x:v>7010</x:v>
      </x:c>
      <x:c r="G479" s="41" t="str">
        <x:v>Nos</x:v>
      </x:c>
      <x:c r="H479" s="41" t="n">
        <x:v>0</x:v>
      </x:c>
      <x:c r="I479" s="41" t="str">
        <x:v>Dimension 1220×1570×1600mm | Weight Stack: 96+4
6 kg | Net Weight: 285kg
10 years frame warranty</x:v>
      </x:c>
      <x:c r="J479" s="41" t="str">
        <x:v>Yes</x:v>
      </x:c>
      <x:c r="K479" s="41" t="str">
        <x:v>Yes</x:v>
      </x:c>
    </x:row>
    <x:row r="480">
      <x:c r="A480" s="41" t="str">
        <x:v>PXL58</x:v>
      </x:c>
      <x:c r="B480" s="41" t="str">
        <x:v>AB Coaster</x:v>
      </x:c>
      <x:c r="C480" s="41" t="str">
        <x:v>Strength</x:v>
      </x:c>
      <x:c r="D480" s="41" t="str">
        <x:v>Premier</x:v>
      </x:c>
      <x:c r="E480" s="41" t="str">
        <x:v>17</x:v>
      </x:c>
      <x:c r="F480" s="42" t="n">
        <x:v>2770</x:v>
      </x:c>
      <x:c r="G480" s="41" t="str">
        <x:v>Nos</x:v>
      </x:c>
      <x:c r="H480" s="41" t="n">
        <x:v>0</x:v>
      </x:c>
      <x:c r="I480" s="41" t="str">
        <x:v>Dimension 1710×720×1450mm
Net Weight: 35kg
10 years frame warranty</x:v>
      </x:c>
      <x:c r="J480" s="41" t="str">
        <x:v>Yes</x:v>
      </x:c>
      <x:c r="K480" s="41" t="str">
        <x:v>Yes</x:v>
      </x:c>
    </x:row>
    <x:row r="481">
      <x:c r="A481" s="41" t="str">
        <x:v>PXL45</x:v>
      </x:c>
      <x:c r="B481" s="41" t="str">
        <x:v>Olympic Super Rack</x:v>
      </x:c>
      <x:c r="C481" s="41" t="str">
        <x:v>Strength</x:v>
      </x:c>
      <x:c r="D481" s="41" t="str">
        <x:v>Premier</x:v>
      </x:c>
      <x:c r="E481" s="41" t="str">
        <x:v>17</x:v>
      </x:c>
      <x:c r="F481" s="42" t="n">
        <x:v>2940</x:v>
      </x:c>
      <x:c r="G481" s="41" t="str">
        <x:v>Nos</x:v>
      </x:c>
      <x:c r="H481" s="41" t="n">
        <x:v>0</x:v>
      </x:c>
      <x:c r="I481" s="41" t="str">
        <x:v>Dimension 1800x1780x1850mm
Net Weight: 113kg
10 years frame warranty</x:v>
      </x:c>
      <x:c r="J481" s="41" t="str">
        <x:v>Yes</x:v>
      </x:c>
      <x:c r="K481" s="41" t="str">
        <x:v>Yes</x:v>
      </x:c>
    </x:row>
    <x:row r="482">
      <x:c r="A482" s="41" t="str">
        <x:v>EPN02</x:v>
      </x:c>
      <x:c r="B482" s="41" t="str">
        <x:v>Pec Fly / Rear Delt</x:v>
      </x:c>
      <x:c r="C482" s="41" t="str">
        <x:v>Strength</x:v>
      </x:c>
      <x:c r="D482" s="41" t="str">
        <x:v>Premier</x:v>
      </x:c>
      <x:c r="E482" s="41" t="str">
        <x:v>17</x:v>
      </x:c>
      <x:c r="F482" s="42" t="n">
        <x:v>7010</x:v>
      </x:c>
      <x:c r="G482" s="41" t="str">
        <x:v>Nos</x:v>
      </x:c>
      <x:c r="H482" s="41" t="n">
        <x:v>0</x:v>
      </x:c>
      <x:c r="I482" s="41" t="str">
        <x:v>Dimension 1490×830×2190mm | Weight Stack: 96+4
6 kg | Net Weight: 285
5kg | 10 years frame warranty</x:v>
      </x:c>
      <x:c r="J482" s="41" t="str">
        <x:v>Yes</x:v>
      </x:c>
      <x:c r="K482" s="41" t="str">
        <x:v>Yes</x:v>
      </x:c>
    </x:row>
    <x:row r="483">
      <x:c r="A483" s="41" t="str">
        <x:v>EPN11</x:v>
      </x:c>
      <x:c r="B483" s="41" t="str">
        <x:v>Leg Extension</x:v>
      </x:c>
      <x:c r="C483" s="41" t="str">
        <x:v>Strength</x:v>
      </x:c>
      <x:c r="D483" s="41" t="str">
        <x:v>Premier</x:v>
      </x:c>
      <x:c r="E483" s="41" t="str">
        <x:v>17</x:v>
      </x:c>
      <x:c r="F483" s="42" t="n">
        <x:v>7010</x:v>
      </x:c>
      <x:c r="G483" s="41" t="str">
        <x:v>Nos</x:v>
      </x:c>
      <x:c r="H483" s="41" t="n">
        <x:v>0</x:v>
      </x:c>
      <x:c r="I483" s="41" t="str">
        <x:v>Dimension 1600×1200×1600mm | Weight Stack: 96+4
6 kg | Net Weight: 268
5kg | 10 years frame warranty</x:v>
      </x:c>
      <x:c r="J483" s="41" t="str">
        <x:v>Yes</x:v>
      </x:c>
      <x:c r="K483" s="41" t="str">
        <x:v>Yes</x:v>
      </x:c>
    </x:row>
    <x:row r="484">
      <x:c r="A484" s="41" t="str">
        <x:v>EPN12</x:v>
      </x:c>
      <x:c r="B484" s="41" t="str">
        <x:v>Seated Leg Curl</x:v>
      </x:c>
      <x:c r="C484" s="41" t="str">
        <x:v>Strength</x:v>
      </x:c>
      <x:c r="D484" s="41" t="str">
        <x:v>Premier</x:v>
      </x:c>
      <x:c r="E484" s="41" t="str">
        <x:v>17</x:v>
      </x:c>
      <x:c r="F484" s="42" t="n">
        <x:v>7010</x:v>
      </x:c>
      <x:c r="G484" s="41" t="str">
        <x:v>Nos</x:v>
      </x:c>
      <x:c r="H484" s="41" t="n">
        <x:v>0</x:v>
      </x:c>
      <x:c r="I484" s="41" t="str">
        <x:v>Dimension 1550×1170×1600mm | Weight Stack: 96+4
6 kg | Net Weight: 302
5kg | 10 years frame warranty</x:v>
      </x:c>
      <x:c r="J484" s="41" t="str">
        <x:v>Yes</x:v>
      </x:c>
      <x:c r="K484" s="41" t="str">
        <x:v>Yes</x:v>
      </x:c>
    </x:row>
    <x:row r="485">
      <x:c r="A485" s="41" t="str">
        <x:v>EPN13</x:v>
      </x:c>
      <x:c r="B485" s="41" t="str">
        <x:v>Prone Leg Curl</x:v>
      </x:c>
      <x:c r="C485" s="41" t="str">
        <x:v>Strength</x:v>
      </x:c>
      <x:c r="D485" s="41" t="str">
        <x:v>Premier</x:v>
      </x:c>
      <x:c r="E485" s="41" t="str">
        <x:v>17</x:v>
      </x:c>
      <x:c r="F485" s="42" t="n">
        <x:v>7010</x:v>
      </x:c>
      <x:c r="G485" s="41" t="str">
        <x:v>Nos</x:v>
      </x:c>
      <x:c r="H485" s="41" t="n">
        <x:v>0</x:v>
      </x:c>
      <x:c r="I485" s="41" t="str">
        <x:v>Dimension 1560×1050×1600mm | Weight Stack: 96+4
6 kg | Net Weight: 250kg
10 years frame warranty</x:v>
      </x:c>
      <x:c r="J485" s="41" t="str">
        <x:v>Yes</x:v>
      </x:c>
      <x:c r="K485" s="41" t="str">
        <x:v>Yes</x:v>
      </x:c>
    </x:row>
    <x:row r="486">
      <x:c r="A486" s="41" t="str">
        <x:v>PXL51</x:v>
      </x:c>
      <x:c r="B486" s="41" t="str">
        <x:v>Abdominal Board</x:v>
      </x:c>
      <x:c r="C486" s="41" t="str">
        <x:v>Strength</x:v>
      </x:c>
      <x:c r="D486" s="41" t="str">
        <x:v>Premier</x:v>
      </x:c>
      <x:c r="E486" s="41" t="str">
        <x:v>17</x:v>
      </x:c>
      <x:c r="F486" s="42" t="n">
        <x:v>1810</x:v>
      </x:c>
      <x:c r="G486" s="41" t="str">
        <x:v>Nos</x:v>
      </x:c>
      <x:c r="H486" s="41" t="n">
        <x:v>0</x:v>
      </x:c>
      <x:c r="I486" s="41" t="str">
        <x:v>Dimension 1520x680x1020mm
Net Weight: 45kg
10 years frame warranty</x:v>
      </x:c>
      <x:c r="J486" s="41" t="str">
        <x:v>Yes</x:v>
      </x:c>
      <x:c r="K486" s="41" t="str">
        <x:v>Yes</x:v>
      </x:c>
    </x:row>
    <x:row r="487">
      <x:c r="A487" s="41" t="str">
        <x:v>PXL48</x:v>
      </x:c>
      <x:c r="B487" s="41" t="str">
        <x:v>Decline Bench</x:v>
      </x:c>
      <x:c r="C487" s="41" t="str">
        <x:v>Strength</x:v>
      </x:c>
      <x:c r="D487" s="41" t="str">
        <x:v>Premier</x:v>
      </x:c>
      <x:c r="E487" s="41" t="str">
        <x:v>17</x:v>
      </x:c>
      <x:c r="F487" s="42" t="n">
        <x:v>2490</x:v>
      </x:c>
      <x:c r="G487" s="41" t="str">
        <x:v>Nos</x:v>
      </x:c>
      <x:c r="H487" s="41" t="n">
        <x:v>0</x:v>
      </x:c>
      <x:c r="I487" s="41" t="str">
        <x:v>Dimension 2150x1880x1290mm
Net Weight: 90kg
10 years frame warranty</x:v>
      </x:c>
      <x:c r="J487" s="41" t="str">
        <x:v>Yes</x:v>
      </x:c>
      <x:c r="K487" s="41" t="str">
        <x:v>Yes</x:v>
      </x:c>
    </x:row>
    <x:row r="488">
      <x:c r="A488" s="41" t="str">
        <x:v>EPN17</x:v>
      </x:c>
      <x:c r="B488" s="41" t="str">
        <x:v>Back Extension</x:v>
      </x:c>
      <x:c r="C488" s="41" t="str">
        <x:v>Strength</x:v>
      </x:c>
      <x:c r="D488" s="41" t="str">
        <x:v>Premier</x:v>
      </x:c>
      <x:c r="E488" s="41" t="str">
        <x:v>17</x:v>
      </x:c>
      <x:c r="F488" s="42" t="n">
        <x:v>7010</x:v>
      </x:c>
      <x:c r="G488" s="41" t="str">
        <x:v>Nos</x:v>
      </x:c>
      <x:c r="H488" s="41" t="n">
        <x:v>0</x:v>
      </x:c>
      <x:c r="I488" s="41" t="str">
        <x:v>Dimension 1340×1070×1600mm | Weight Stack: 96+4
6 kg | Net Weight: 252
5kg | 10 years frame warranty</x:v>
      </x:c>
      <x:c r="J488" s="41" t="str">
        <x:v>Yes</x:v>
      </x:c>
      <x:c r="K488" s="41" t="str">
        <x:v>Yes</x:v>
      </x:c>
    </x:row>
    <x:row r="489">
      <x:c r="A489" s="41" t="str">
        <x:v>PXL50</x:v>
      </x:c>
      <x:c r="B489" s="41" t="str">
        <x:v>Flat Bench</x:v>
      </x:c>
      <x:c r="C489" s="41" t="str">
        <x:v>Strength</x:v>
      </x:c>
      <x:c r="D489" s="41" t="str">
        <x:v>Premier</x:v>
      </x:c>
      <x:c r="E489" s="41" t="str">
        <x:v>17</x:v>
      </x:c>
      <x:c r="F489" s="42" t="n">
        <x:v>1190</x:v>
      </x:c>
      <x:c r="G489" s="41" t="str">
        <x:v>Nos</x:v>
      </x:c>
      <x:c r="H489" s="41" t="n">
        <x:v>0</x:v>
      </x:c>
      <x:c r="I489" s="41" t="str">
        <x:v>Dimension: 1340×560×430mm | Net Weight: 24
5kg
10 years frame warranty</x:v>
      </x:c>
      <x:c r="J489" s="41" t="str">
        <x:v>Yes</x:v>
      </x:c>
      <x:c r="K489" s="41" t="str">
        <x:v>Yes</x:v>
      </x:c>
    </x:row>
    <x:row r="490">
      <x:c r="A490" s="41" t="str">
        <x:v>PXL52</x:v>
      </x:c>
      <x:c r="B490" s="41" t="str">
        <x:v>Adjustable Abdominal Bench</x:v>
      </x:c>
      <x:c r="C490" s="41" t="str">
        <x:v>Strength</x:v>
      </x:c>
      <x:c r="D490" s="41" t="str">
        <x:v>Premier</x:v>
      </x:c>
      <x:c r="E490" s="41" t="str">
        <x:v>17</x:v>
      </x:c>
      <x:c r="F490" s="42" t="n">
        <x:v>2320</x:v>
      </x:c>
      <x:c r="G490" s="41" t="str">
        <x:v>Nos</x:v>
      </x:c>
      <x:c r="H490" s="41" t="n">
        <x:v>0</x:v>
      </x:c>
      <x:c r="I490" s="41" t="str">
        <x:v>Dimension: 1710×880×840mm
Net Weight: 60kg
10 years frame warranty</x:v>
      </x:c>
      <x:c r="J490" s="41" t="str">
        <x:v>Yes</x:v>
      </x:c>
      <x:c r="K490" s="41" t="str">
        <x:v>Yes</x:v>
      </x:c>
    </x:row>
    <x:row r="491">
      <x:c r="A491" s="41" t="str">
        <x:v>EPN01</x:v>
      </x:c>
      <x:c r="B491" s="41" t="str">
        <x:v>Chest Press</x:v>
      </x:c>
      <x:c r="C491" s="41" t="str">
        <x:v>Strength</x:v>
      </x:c>
      <x:c r="D491" s="41" t="str">
        <x:v>Premier</x:v>
      </x:c>
      <x:c r="E491" s="41" t="str">
        <x:v>17</x:v>
      </x:c>
      <x:c r="F491" s="42" t="n">
        <x:v>7010</x:v>
      </x:c>
      <x:c r="G491" s="41" t="str">
        <x:v>Nos</x:v>
      </x:c>
      <x:c r="H491" s="41" t="n">
        <x:v>0</x:v>
      </x:c>
      <x:c r="I491" s="41" t="str">
        <x:v>Dimension 1045×1500×1600mm | Weight Stack: 96+4
6 kg | Net Weight: 285kg
10 years frame warranty</x:v>
      </x:c>
      <x:c r="J491" s="41" t="str">
        <x:v>Yes</x:v>
      </x:c>
      <x:c r="K491" s="41" t="str">
        <x:v>Yes</x:v>
      </x:c>
    </x:row>
    <x:row r="492">
      <x:c r="A492" s="41" t="str">
        <x:v>EPN18</x:v>
      </x:c>
      <x:c r="B492" s="41" t="str">
        <x:v>Abdominal</x:v>
      </x:c>
      <x:c r="C492" s="41" t="str">
        <x:v>Strength</x:v>
      </x:c>
      <x:c r="D492" s="41" t="str">
        <x:v>Premier</x:v>
      </x:c>
      <x:c r="E492" s="41" t="str">
        <x:v>17</x:v>
      </x:c>
      <x:c r="F492" s="42" t="n">
        <x:v>7010</x:v>
      </x:c>
      <x:c r="G492" s="41" t="str">
        <x:v>Nos</x:v>
      </x:c>
      <x:c r="H492" s="41" t="n">
        <x:v>0</x:v>
      </x:c>
      <x:c r="I492" s="41" t="str">
        <x:v>Dimension 1340×1650×1580mm | Weight Stack: 96+4
6 kg | Net Weight: 295kg
10 years frame warranty</x:v>
      </x:c>
      <x:c r="J492" s="41" t="str">
        <x:v>Yes</x:v>
      </x:c>
      <x:c r="K492" s="41" t="str">
        <x:v>Yes</x:v>
      </x:c>
    </x:row>
    <x:row r="493">
      <x:c r="A493" s="41" t="str">
        <x:v>PXL46</x:v>
      </x:c>
      <x:c r="B493" s="41" t="str">
        <x:v>Flat Olympic bench</x:v>
      </x:c>
      <x:c r="C493" s="41" t="str">
        <x:v>Strength</x:v>
      </x:c>
      <x:c r="D493" s="41" t="str">
        <x:v>Premier</x:v>
      </x:c>
      <x:c r="E493" s="41" t="str">
        <x:v>17</x:v>
      </x:c>
      <x:c r="F493" s="42" t="n">
        <x:v>2260</x:v>
      </x:c>
      <x:c r="G493" s="41" t="str">
        <x:v>Nos</x:v>
      </x:c>
      <x:c r="H493" s="41" t="n">
        <x:v>0</x:v>
      </x:c>
      <x:c r="I493" s="41" t="str">
        <x:v>Dimension 1680x1880x1290mm
Net Weight: 86kg
10 years frame warranty</x:v>
      </x:c>
      <x:c r="J493" s="41" t="str">
        <x:v>Yes</x:v>
      </x:c>
      <x:c r="K493" s="41" t="str">
        <x:v>Yes</x:v>
      </x:c>
    </x:row>
    <x:row r="494">
      <x:c r="A494" s="41" t="str">
        <x:v>EPN08</x:v>
      </x:c>
      <x:c r="B494" s="41" t="str">
        <x:v>Lat Pulldown</x:v>
      </x:c>
      <x:c r="C494" s="41" t="str">
        <x:v>Strength</x:v>
      </x:c>
      <x:c r="D494" s="41" t="str">
        <x:v>Premier</x:v>
      </x:c>
      <x:c r="E494" s="41" t="str">
        <x:v>17</x:v>
      </x:c>
      <x:c r="F494" s="42" t="n">
        <x:v>7010</x:v>
      </x:c>
      <x:c r="G494" s="41" t="str">
        <x:v>Nos</x:v>
      </x:c>
      <x:c r="H494" s="41" t="n">
        <x:v>0</x:v>
      </x:c>
      <x:c r="I494" s="41" t="str">
        <x:v>Dimension 1770×1360×2280mm | Weight Stack: 96+4
6 kg | Net Weight: 270kg
10 years frame warranty</x:v>
      </x:c>
      <x:c r="J494" s="41" t="str">
        <x:v>Yes</x:v>
      </x:c>
      <x:c r="K494" s="41" t="str">
        <x:v>Yes</x:v>
      </x:c>
    </x:row>
    <x:row r="495">
      <x:c r="A495" s="41" t="str">
        <x:v>PXL47</x:v>
      </x:c>
      <x:c r="B495" s="41" t="str">
        <x:v>Incline Olympic bench</x:v>
      </x:c>
      <x:c r="C495" s="41" t="str">
        <x:v>Strength</x:v>
      </x:c>
      <x:c r="D495" s="41" t="str">
        <x:v>Premier</x:v>
      </x:c>
      <x:c r="E495" s="41" t="str">
        <x:v>17</x:v>
      </x:c>
      <x:c r="F495" s="42" t="n">
        <x:v>2490</x:v>
      </x:c>
      <x:c r="G495" s="41" t="str">
        <x:v>Nos</x:v>
      </x:c>
      <x:c r="H495" s="41" t="n">
        <x:v>0</x:v>
      </x:c>
      <x:c r="I495" s="41" t="str">
        <x:v>Dimension 1650x1880x1550mm
Net Weight: 93kg
10 years frame warranty</x:v>
      </x:c>
      <x:c r="J495" s="41" t="str">
        <x:v>Yes</x:v>
      </x:c>
      <x:c r="K495" s="41" t="str">
        <x:v>Yes</x:v>
      </x:c>
    </x:row>
    <x:row r="496">
      <x:c r="A496" s="41" t="str">
        <x:v>EPN10</x:v>
      </x:c>
      <x:c r="B496" s="41" t="str">
        <x:v>Dip Chin Assist</x:v>
      </x:c>
      <x:c r="C496" s="41" t="str">
        <x:v>Strength</x:v>
      </x:c>
      <x:c r="D496" s="41" t="str">
        <x:v>Premier</x:v>
      </x:c>
      <x:c r="E496" s="41" t="str">
        <x:v>17</x:v>
      </x:c>
      <x:c r="F496" s="42" t="n">
        <x:v>7010</x:v>
      </x:c>
      <x:c r="G496" s="41" t="str">
        <x:v>Nos</x:v>
      </x:c>
      <x:c r="H496" s="41" t="n">
        <x:v>0</x:v>
      </x:c>
      <x:c r="I496" s="41" t="str">
        <x:v>Dimension 1560×1530×2210mm | Weight Stack: 96+4
6 kg | Net Weight: 324kg
10 years frame warranty</x:v>
      </x:c>
      <x:c r="J496" s="41" t="str">
        <x:v>Yes</x:v>
      </x:c>
      <x:c r="K496" s="41" t="str">
        <x:v>Yes</x:v>
      </x:c>
    </x:row>
    <x:row r="497">
      <x:c r="A497" s="41" t="str">
        <x:v>EPN03</x:v>
      </x:c>
      <x:c r="B497" s="41" t="str">
        <x:v>Shoulder Press</x:v>
      </x:c>
      <x:c r="C497" s="41" t="str">
        <x:v>Strength</x:v>
      </x:c>
      <x:c r="D497" s="41" t="str">
        <x:v>Premier</x:v>
      </x:c>
      <x:c r="E497" s="41" t="str">
        <x:v>17</x:v>
      </x:c>
      <x:c r="F497" s="42" t="n">
        <x:v>7010</x:v>
      </x:c>
      <x:c r="G497" s="41" t="str">
        <x:v>Nos</x:v>
      </x:c>
      <x:c r="H497" s="41" t="n">
        <x:v>0</x:v>
      </x:c>
      <x:c r="I497" s="41" t="str">
        <x:v>Dimension 1700×1440×1600mm | Weight Stack: 96+4
6 kg | Net Weight: 273kg
10 years frame warranty</x:v>
      </x:c>
      <x:c r="J497" s="41" t="str">
        <x:v>Yes</x:v>
      </x:c>
      <x:c r="K497" s="41" t="str">
        <x:v>Yes</x:v>
      </x:c>
    </x:row>
    <x:row r="498">
      <x:c r="A498" s="41" t="str">
        <x:v>PXL49</x:v>
      </x:c>
      <x:c r="B498" s="41" t="str">
        <x:v>Flat Bench</x:v>
      </x:c>
      <x:c r="C498" s="41" t="str">
        <x:v>Strength</x:v>
      </x:c>
      <x:c r="D498" s="41" t="str">
        <x:v>Premier</x:v>
      </x:c>
      <x:c r="E498" s="41" t="str">
        <x:v>17</x:v>
      </x:c>
      <x:c r="F498" s="42" t="n">
        <x:v>910</x:v>
      </x:c>
      <x:c r="G498" s="41" t="str">
        <x:v>Nos</x:v>
      </x:c>
      <x:c r="H498" s="41" t="n">
        <x:v>0</x:v>
      </x:c>
      <x:c r="I498" s="41" t="str">
        <x:v>Dimension 1300x520x420mm
Net Weight: 22kg
10 years frame warranty</x:v>
      </x:c>
      <x:c r="J498" s="41" t="str">
        <x:v>Yes</x:v>
      </x:c>
      <x:c r="K498" s="41" t="str">
        <x:v>Yes</x:v>
      </x:c>
    </x:row>
    <x:row r="499">
      <x:c r="A499" s="41" t="str">
        <x:v>PXL44</x:v>
      </x:c>
      <x:c r="B499" s="41" t="str">
        <x:v>Hip trainer</x:v>
      </x:c>
      <x:c r="C499" s="41" t="str">
        <x:v>Strength</x:v>
      </x:c>
      <x:c r="D499" s="41" t="str">
        <x:v>Premier</x:v>
      </x:c>
      <x:c r="E499" s="41" t="str">
        <x:v>17</x:v>
      </x:c>
      <x:c r="F499" s="42" t="n">
        <x:v>5090</x:v>
      </x:c>
      <x:c r="G499" s="41" t="str">
        <x:v>Nos</x:v>
      </x:c>
      <x:c r="H499" s="41" t="n">
        <x:v>0</x:v>
      </x:c>
      <x:c r="I499" s="41" t="str">
        <x:v>Dimension 1982x1189x600mm
Net Weight: 108kg
10 years frame warranty</x:v>
      </x:c>
      <x:c r="J499" s="41" t="str">
        <x:v>Yes</x:v>
      </x:c>
      <x:c r="K499" s="41" t="str">
        <x:v>Yes</x:v>
      </x:c>
    </x:row>
    <x:row r="500">
      <x:c r="A500" s="41" t="str">
        <x:v>EPN15</x:v>
      </x:c>
      <x:c r="B500" s="41" t="str">
        <x:v>Inner Thigh Adductor</x:v>
      </x:c>
      <x:c r="C500" s="41" t="str">
        <x:v>Strength</x:v>
      </x:c>
      <x:c r="D500" s="41" t="str">
        <x:v>Premier</x:v>
      </x:c>
      <x:c r="E500" s="41" t="str">
        <x:v>17</x:v>
      </x:c>
      <x:c r="F500" s="42" t="n">
        <x:v>7010</x:v>
      </x:c>
      <x:c r="G500" s="41" t="str">
        <x:v>Nos</x:v>
      </x:c>
      <x:c r="H500" s="41" t="n">
        <x:v>0</x:v>
      </x:c>
      <x:c r="I500" s="41" t="str">
        <x:v>Dimension 1690×1580×1600mm | Weight Stack: 96+4
6 kg | Net Weight: 250kg
10 years frame warranty</x:v>
      </x:c>
      <x:c r="J500" s="41" t="str">
        <x:v>Yes</x:v>
      </x:c>
      <x:c r="K500" s="41" t="str">
        <x:v>Yes</x:v>
      </x:c>
    </x:row>
    <x:row r="501">
      <x:c r="A501" s="41" t="str">
        <x:v>EPN04</x:v>
      </x:c>
      <x:c r="B501" s="41" t="str">
        <x:v>Lateral Raise</x:v>
      </x:c>
      <x:c r="C501" s="41" t="str">
        <x:v>Strength</x:v>
      </x:c>
      <x:c r="D501" s="41" t="str">
        <x:v>Premier</x:v>
      </x:c>
      <x:c r="E501" s="41" t="str">
        <x:v>17</x:v>
      </x:c>
      <x:c r="F501" s="42" t="n">
        <x:v>7010</x:v>
      </x:c>
      <x:c r="G501" s="41" t="str">
        <x:v>Nos</x:v>
      </x:c>
      <x:c r="H501" s="41" t="n">
        <x:v>0</x:v>
      </x:c>
      <x:c r="I501" s="41" t="str">
        <x:v>Dimension 1220×1220×1600mm | Weight Stack: 96+4
6 kg | Net Weight: 261kg
10 years frame warranty</x:v>
      </x:c>
      <x:c r="J501" s="41" t="str">
        <x:v>Yes</x:v>
      </x:c>
      <x:c r="K501" s="41" t="str">
        <x:v>Yes</x:v>
      </x:c>
    </x:row>
    <x:row r="502">
      <x:c r="A502" s="41" t="str">
        <x:v>PXL43</x:v>
      </x:c>
      <x:c r="B502" s="41" t="str">
        <x:v>Abdominal Machine</x:v>
      </x:c>
      <x:c r="C502" s="41" t="str">
        <x:v>Strength</x:v>
      </x:c>
      <x:c r="D502" s="41" t="str">
        <x:v>Premier</x:v>
      </x:c>
      <x:c r="E502" s="41" t="str">
        <x:v>17</x:v>
      </x:c>
      <x:c r="F502" s="42" t="n">
        <x:v>1240</x:v>
      </x:c>
      <x:c r="G502" s="41" t="str">
        <x:v>Nos</x:v>
      </x:c>
      <x:c r="H502" s="41" t="n">
        <x:v>0</x:v>
      </x:c>
      <x:c r="I502" s="41" t="str">
        <x:v>Dimension 1110x570x500mm
Net Weight: 43kg
10 years frame warranty</x:v>
      </x:c>
      <x:c r="J502" s="41" t="str">
        <x:v>Yes</x:v>
      </x:c>
      <x:c r="K502" s="41" t="str">
        <x:v>Yes</x:v>
      </x:c>
    </x:row>
    <x:row r="503">
      <x:c r="A503" s="41" t="str">
        <x:v>PXL57</x:v>
      </x:c>
      <x:c r="B503" s="41" t="str">
        <x:v>75 degree incline bench</x:v>
      </x:c>
      <x:c r="C503" s="41" t="str">
        <x:v>Strength</x:v>
      </x:c>
      <x:c r="D503" s="41" t="str">
        <x:v>Premier</x:v>
      </x:c>
      <x:c r="E503" s="41" t="str">
        <x:v>17</x:v>
      </x:c>
      <x:c r="F503" s="42" t="n">
        <x:v>1070</x:v>
      </x:c>
      <x:c r="G503" s="41" t="str">
        <x:v>Nos</x:v>
      </x:c>
      <x:c r="H503" s="41" t="n">
        <x:v>0</x:v>
      </x:c>
      <x:c r="I503" s="41" t="str">
        <x:v>Dimension 1300x580x960mm
Net Weight: 26kg
10 years frame warranty</x:v>
      </x:c>
      <x:c r="J503" s="41" t="str">
        <x:v>Yes</x:v>
      </x:c>
      <x:c r="K503" s="41" t="str">
        <x:v>Yes</x:v>
      </x:c>
    </x:row>
    <x:row r="504">
      <x:c r="A504" s="41" t="str">
        <x:v>PXL42</x:v>
      </x:c>
      <x:c r="B504" s="41" t="str">
        <x:v>Back / Hyper Extension</x:v>
      </x:c>
      <x:c r="C504" s="41" t="str">
        <x:v>Strength</x:v>
      </x:c>
      <x:c r="D504" s="41" t="str">
        <x:v>Premier</x:v>
      </x:c>
      <x:c r="E504" s="41" t="str">
        <x:v>17</x:v>
      </x:c>
      <x:c r="F504" s="42" t="n">
        <x:v>2220</x:v>
      </x:c>
      <x:c r="G504" s="41" t="str">
        <x:v>Nos</x:v>
      </x:c>
      <x:c r="H504" s="41" t="n">
        <x:v>0</x:v>
      </x:c>
      <x:c r="I504" s="41" t="str">
        <x:v>Dimension: 1145x955x750mm
Net Weight: 42kg
10 years frame warranty</x:v>
      </x:c>
      <x:c r="J504" s="41" t="str">
        <x:v>Yes</x:v>
      </x:c>
      <x:c r="K504" s="41" t="str">
        <x:v>Yes</x:v>
      </x:c>
    </x:row>
    <x:row r="505">
      <x:c r="A505" s="41" t="str">
        <x:v>PXL54</x:v>
      </x:c>
      <x:c r="B505" s="41" t="str">
        <x:v>Adjustable Bench</x:v>
      </x:c>
      <x:c r="C505" s="41" t="str">
        <x:v>Strength</x:v>
      </x:c>
      <x:c r="D505" s="41" t="str">
        <x:v>Premier</x:v>
      </x:c>
      <x:c r="E505" s="41" t="str">
        <x:v>17</x:v>
      </x:c>
      <x:c r="F505" s="42" t="n">
        <x:v>2150</x:v>
      </x:c>
      <x:c r="G505" s="41" t="str">
        <x:v>Nos</x:v>
      </x:c>
      <x:c r="H505" s="41" t="n">
        <x:v>0</x:v>
      </x:c>
      <x:c r="I505" s="41" t="str">
        <x:v>Dimension: 1366x746x440mm
Net Weight: 44kg
10 years frame warranty</x:v>
      </x:c>
      <x:c r="J505" s="41" t="str">
        <x:v>Yes</x:v>
      </x:c>
      <x:c r="K505" s="41" t="str">
        <x:v>Yes</x:v>
      </x:c>
    </x:row>
    <x:row r="506">
      <x:c r="A506" s="41" t="str">
        <x:v>EPN06</x:v>
      </x:c>
      <x:c r="B506" s="41" t="str">
        <x:v>Seated Dip / Triceps Press</x:v>
      </x:c>
      <x:c r="C506" s="41" t="str">
        <x:v>Strength</x:v>
      </x:c>
      <x:c r="D506" s="41" t="str">
        <x:v>Premier</x:v>
      </x:c>
      <x:c r="E506" s="41" t="str">
        <x:v>17</x:v>
      </x:c>
      <x:c r="F506" s="42" t="n">
        <x:v>7010</x:v>
      </x:c>
      <x:c r="G506" s="41" t="str">
        <x:v>Nos</x:v>
      </x:c>
      <x:c r="H506" s="41" t="n">
        <x:v>0</x:v>
      </x:c>
      <x:c r="I506" s="41" t="str">
        <x:v>Dimension 1310×1200×1600mm | Weight Stack: 96+4
6 kg | Net Weight: 270kg
10 years frame warranty</x:v>
      </x:c>
      <x:c r="J506" s="41" t="str">
        <x:v>Yes</x:v>
      </x:c>
      <x:c r="K506" s="41" t="str">
        <x:v>Yes</x:v>
      </x:c>
    </x:row>
    <x:row r="507">
      <x:c r="A507" s="41" t="str">
        <x:v>EPN07</x:v>
      </x:c>
      <x:c r="B507" s="41" t="str">
        <x:v>Rowing Machine</x:v>
      </x:c>
      <x:c r="C507" s="41" t="str">
        <x:v>Strength</x:v>
      </x:c>
      <x:c r="D507" s="41" t="str">
        <x:v>Premier</x:v>
      </x:c>
      <x:c r="E507" s="41" t="str">
        <x:v>17</x:v>
      </x:c>
      <x:c r="F507" s="42" t="n">
        <x:v>7010</x:v>
      </x:c>
      <x:c r="G507" s="41" t="str">
        <x:v>Nos</x:v>
      </x:c>
      <x:c r="H507" s="41" t="n">
        <x:v>0</x:v>
      </x:c>
      <x:c r="I507" s="41" t="str">
        <x:v>Dimension 1240×1230×1600mm | Weight Stack: 96+4
6 kg | Net Weight: 253kg
10 years frame warranty</x:v>
      </x:c>
      <x:c r="J507" s="41" t="str">
        <x:v>Yes</x:v>
      </x:c>
      <x:c r="K507" s="41" t="str">
        <x:v>Yes</x:v>
      </x:c>
    </x:row>
    <x:row r="508">
      <x:c r="A508" s="41" t="str">
        <x:v>PXL32</x:v>
      </x:c>
      <x:c r="B508" s="41" t="str">
        <x:v>90 Degree leg press</x:v>
      </x:c>
      <x:c r="C508" s="41" t="str">
        <x:v>Strength</x:v>
      </x:c>
      <x:c r="D508" s="41" t="str">
        <x:v>Premier</x:v>
      </x:c>
      <x:c r="E508" s="41" t="str">
        <x:v>17</x:v>
      </x:c>
      <x:c r="F508" s="42" t="n">
        <x:v>5090</x:v>
      </x:c>
      <x:c r="G508" s="41" t="str">
        <x:v>Nos</x:v>
      </x:c>
      <x:c r="H508" s="41" t="n">
        <x:v>0</x:v>
      </x:c>
      <x:c r="I508" s="41" t="str">
        <x:v>Dimension 1270x1670x1830mm
Net Weight: 145kg
10 years frame warranty</x:v>
      </x:c>
      <x:c r="J508" s="41" t="str">
        <x:v>Yes</x:v>
      </x:c>
      <x:c r="K508" s="41" t="str">
        <x:v>Yes</x:v>
      </x:c>
    </x:row>
    <x:row r="509">
      <x:c r="A509" s="41" t="str">
        <x:v>PXL23</x:v>
      </x:c>
      <x:c r="B509" s="41" t="str">
        <x:v>Pulldown</x:v>
      </x:c>
      <x:c r="C509" s="41" t="str">
        <x:v>Strength</x:v>
      </x:c>
      <x:c r="D509" s="41" t="str">
        <x:v>Premier</x:v>
      </x:c>
      <x:c r="E509" s="41" t="str">
        <x:v>17</x:v>
      </x:c>
      <x:c r="F509" s="42" t="n">
        <x:v>5200</x:v>
      </x:c>
      <x:c r="G509" s="41" t="str">
        <x:v>Nos</x:v>
      </x:c>
      <x:c r="H509" s="41" t="n">
        <x:v>0</x:v>
      </x:c>
      <x:c r="I509" s="41" t="str">
        <x:v>Dimension 1730×1700×2060mm
Net Weight: 213kg
10 years frame warranty</x:v>
      </x:c>
      <x:c r="J509" s="41" t="str">
        <x:v>Yes</x:v>
      </x:c>
      <x:c r="K509" s="41" t="str">
        <x:v>Yes</x:v>
      </x:c>
    </x:row>
    <x:row r="510">
      <x:c r="A510" s="41" t="str">
        <x:v>PXL35</x:v>
      </x:c>
      <x:c r="B510" s="41" t="str">
        <x:v>Leg Press</x:v>
      </x:c>
      <x:c r="C510" s="41" t="str">
        <x:v>Strength</x:v>
      </x:c>
      <x:c r="D510" s="41" t="str">
        <x:v>Premier</x:v>
      </x:c>
      <x:c r="E510" s="41" t="str">
        <x:v>17</x:v>
      </x:c>
      <x:c r="F510" s="42" t="n">
        <x:v>9920</x:v>
      </x:c>
      <x:c r="G510" s="41" t="str">
        <x:v>Nos</x:v>
      </x:c>
      <x:c r="H510" s="41" t="n">
        <x:v>0</x:v>
      </x:c>
      <x:c r="I510" s="41" t="str">
        <x:v>Dimension: 2702x1421x1460mm
Net Weight: 227kg
10 years frame warranty</x:v>
      </x:c>
      <x:c r="J510" s="41" t="str">
        <x:v>Yes</x:v>
      </x:c>
      <x:c r="K510" s="41" t="str">
        <x:v>Yes</x:v>
      </x:c>
    </x:row>
    <x:row r="511">
      <x:c r="A511" s="41" t="str">
        <x:v>PXL04</x:v>
      </x:c>
      <x:c r="B511" s="41" t="str">
        <x:v>Seated Chest Press &amp; Lat Pull Down</x:v>
      </x:c>
      <x:c r="C511" s="41" t="str">
        <x:v>Strength</x:v>
      </x:c>
      <x:c r="D511" s="41" t="str">
        <x:v>Premier</x:v>
      </x:c>
      <x:c r="E511" s="41" t="str">
        <x:v>17</x:v>
      </x:c>
      <x:c r="F511" s="42" t="n">
        <x:v>5660</x:v>
      </x:c>
      <x:c r="G511" s="41" t="str">
        <x:v>Nos</x:v>
      </x:c>
      <x:c r="H511" s="41" t="n">
        <x:v>0</x:v>
      </x:c>
      <x:c r="I511" s="41" t="str">
        <x:v>Dimension 2150x1690x2030mm
Net Weight: 192kg
10 years frame warranty</x:v>
      </x:c>
      <x:c r="J511" s="41" t="str">
        <x:v>Yes</x:v>
      </x:c>
      <x:c r="K511" s="41" t="str">
        <x:v>Yes</x:v>
      </x:c>
    </x:row>
    <x:row r="512">
      <x:c r="A512" s="41" t="str">
        <x:v>PXL09</x:v>
      </x:c>
      <x:c r="B512" s="41" t="str">
        <x:v>Smith Machine</x:v>
      </x:c>
      <x:c r="C512" s="41" t="str">
        <x:v>Strength</x:v>
      </x:c>
      <x:c r="D512" s="41" t="str">
        <x:v>Premier</x:v>
      </x:c>
      <x:c r="E512" s="41" t="str">
        <x:v>17</x:v>
      </x:c>
      <x:c r="F512" s="42" t="n">
        <x:v>8160</x:v>
      </x:c>
      <x:c r="G512" s="41" t="str">
        <x:v>Nos</x:v>
      </x:c>
      <x:c r="H512" s="41" t="n">
        <x:v>0</x:v>
      </x:c>
      <x:c r="I512" s="41" t="str">
        <x:v>Dimension:2252x1029x2357mm
Net Weight: 202kg
10 years frame warranty</x:v>
      </x:c>
      <x:c r="J512" s="41" t="str">
        <x:v>Yes</x:v>
      </x:c>
      <x:c r="K512" s="41" t="str">
        <x:v>Yes</x:v>
      </x:c>
    </x:row>
    <x:row r="513">
      <x:c r="A513" s="41" t="str">
        <x:v>PXL01</x:v>
      </x:c>
      <x:c r="B513" s="41" t="str">
        <x:v>Incline Chest Press</x:v>
      </x:c>
      <x:c r="C513" s="41" t="str">
        <x:v>Strength</x:v>
      </x:c>
      <x:c r="D513" s="41" t="str">
        <x:v>Premier</x:v>
      </x:c>
      <x:c r="E513" s="41" t="str">
        <x:v>17</x:v>
      </x:c>
      <x:c r="F513" s="42" t="n">
        <x:v>4300</x:v>
      </x:c>
      <x:c r="G513" s="41" t="str">
        <x:v>Nos</x:v>
      </x:c>
      <x:c r="H513" s="41" t="n">
        <x:v>0</x:v>
      </x:c>
      <x:c r="I513" s="41" t="str">
        <x:v>Dimension 1600x990x1950mm
Net Weight: 160kg
10 years frame warranty</x:v>
      </x:c>
      <x:c r="J513" s="41" t="str">
        <x:v>Yes</x:v>
      </x:c>
      <x:c r="K513" s="41" t="str">
        <x:v>Yes</x:v>
      </x:c>
    </x:row>
    <x:row r="514">
      <x:c r="A514" s="41" t="str">
        <x:v>PXL30</x:v>
      </x:c>
      <x:c r="B514" s="41" t="str">
        <x:v>Seated Dip</x:v>
      </x:c>
      <x:c r="C514" s="41" t="str">
        <x:v>Strength</x:v>
      </x:c>
      <x:c r="D514" s="41" t="str">
        <x:v>Premier</x:v>
      </x:c>
      <x:c r="E514" s="41" t="str">
        <x:v>17</x:v>
      </x:c>
      <x:c r="F514" s="42" t="n">
        <x:v>4300</x:v>
      </x:c>
      <x:c r="G514" s="41" t="str">
        <x:v>Nos</x:v>
      </x:c>
      <x:c r="H514" s="41" t="n">
        <x:v>0</x:v>
      </x:c>
      <x:c r="I514" s="41" t="str">
        <x:v>Dimension 1753x1575x1060mm
Net Weight: 118kg
10 years frame warranty</x:v>
      </x:c>
      <x:c r="J514" s="41" t="str">
        <x:v>Yes</x:v>
      </x:c>
      <x:c r="K514" s="41" t="str">
        <x:v>Yes</x:v>
      </x:c>
    </x:row>
    <x:row r="515">
      <x:c r="A515" s="41" t="str">
        <x:v>PXL19</x:v>
      </x:c>
      <x:c r="B515" s="41" t="str">
        <x:v>Seated Chest Press</x:v>
      </x:c>
      <x:c r="C515" s="41" t="str">
        <x:v>Strength</x:v>
      </x:c>
      <x:c r="D515" s="41" t="str">
        <x:v>Premier</x:v>
      </x:c>
      <x:c r="E515" s="41" t="str">
        <x:v>17</x:v>
      </x:c>
      <x:c r="F515" s="42" t="n">
        <x:v>4300</x:v>
      </x:c>
      <x:c r="G515" s="41" t="str">
        <x:v>Nos</x:v>
      </x:c>
      <x:c r="H515" s="41" t="n">
        <x:v>0</x:v>
      </x:c>
      <x:c r="I515" s="41" t="str">
        <x:v>Dimension 1290x1910x1860mm
Net Weight: 156kg
10 years frame warranty</x:v>
      </x:c>
      <x:c r="J515" s="41" t="str">
        <x:v>Yes</x:v>
      </x:c>
      <x:c r="K515" s="41" t="str">
        <x:v>Yes</x:v>
      </x:c>
    </x:row>
    <x:row r="516">
      <x:c r="A516" s="41" t="str">
        <x:v>PXL25</x:v>
      </x:c>
      <x:c r="B516" s="41" t="str">
        <x:v>Standing Hip Thrust</x:v>
      </x:c>
      <x:c r="C516" s="41" t="str">
        <x:v>Strength</x:v>
      </x:c>
      <x:c r="D516" s="41" t="str">
        <x:v>Premier</x:v>
      </x:c>
      <x:c r="E516" s="41" t="str">
        <x:v>17</x:v>
      </x:c>
      <x:c r="F516" s="42" t="n">
        <x:v>4300</x:v>
      </x:c>
      <x:c r="G516" s="41" t="str">
        <x:v>Nos</x:v>
      </x:c>
      <x:c r="H516" s="41" t="n">
        <x:v>0</x:v>
      </x:c>
      <x:c r="I516" s="41" t="str">
        <x:v>Dimension 1170×1240×1525mm
Net Weight: 89kg
10 years frame warranty</x:v>
      </x:c>
      <x:c r="J516" s="41" t="str">
        <x:v>Yes</x:v>
      </x:c>
      <x:c r="K516" s="41" t="str">
        <x:v>Yes</x:v>
      </x:c>
    </x:row>
    <x:row r="517">
      <x:c r="A517" s="41" t="str">
        <x:v>PXL14</x:v>
      </x:c>
      <x:c r="B517" s="41" t="str">
        <x:v>Shoulder Press</x:v>
      </x:c>
      <x:c r="C517" s="41" t="str">
        <x:v>Strength</x:v>
      </x:c>
      <x:c r="D517" s="41" t="str">
        <x:v>Premier</x:v>
      </x:c>
      <x:c r="E517" s="41" t="str">
        <x:v>17</x:v>
      </x:c>
      <x:c r="F517" s="42" t="n">
        <x:v>4300</x:v>
      </x:c>
      <x:c r="G517" s="41" t="str">
        <x:v>Nos</x:v>
      </x:c>
      <x:c r="H517" s="41" t="n">
        <x:v>0</x:v>
      </x:c>
      <x:c r="I517" s="41" t="str">
        <x:v>Dimension 1860x1460x1920mm
Net Weight: 150kg
10 years frame warranty</x:v>
      </x:c>
      <x:c r="J517" s="41" t="str">
        <x:v>Yes</x:v>
      </x:c>
      <x:c r="K517" s="41" t="str">
        <x:v>Yes</x:v>
      </x:c>
    </x:row>
    <x:row r="518">
      <x:c r="A518" s="41" t="str">
        <x:v>PXL37</x:v>
      </x:c>
      <x:c r="B518" s="41" t="str">
        <x:v>Back Pulling Trainer</x:v>
      </x:c>
      <x:c r="C518" s="41" t="str">
        <x:v>Strength</x:v>
      </x:c>
      <x:c r="D518" s="41" t="str">
        <x:v>Premier</x:v>
      </x:c>
      <x:c r="E518" s="41" t="str">
        <x:v>17</x:v>
      </x:c>
      <x:c r="F518" s="42" t="n">
        <x:v>4860</x:v>
      </x:c>
      <x:c r="G518" s="41" t="str">
        <x:v>Nos</x:v>
      </x:c>
      <x:c r="H518" s="41" t="n">
        <x:v>0</x:v>
      </x:c>
      <x:c r="I518" s="41" t="str">
        <x:v>Dimension 1720×1210×1700mm
Net Weight: 165kg
10 years frame warranty</x:v>
      </x:c>
      <x:c r="J518" s="41" t="str">
        <x:v>Yes</x:v>
      </x:c>
      <x:c r="K518" s="41" t="str">
        <x:v>Yes</x:v>
      </x:c>
    </x:row>
    <x:row r="519">
      <x:c r="A519" s="41" t="str">
        <x:v>PXL36</x:v>
      </x:c>
      <x:c r="B519" s="41" t="str">
        <x:v>Hack Slide</x:v>
      </x:c>
      <x:c r="C519" s="41" t="str">
        <x:v>Strength</x:v>
      </x:c>
      <x:c r="D519" s="41" t="str">
        <x:v>Premier</x:v>
      </x:c>
      <x:c r="E519" s="41" t="str">
        <x:v>17</x:v>
      </x:c>
      <x:c r="F519" s="42" t="n">
        <x:v>6340</x:v>
      </x:c>
      <x:c r="G519" s="41" t="str">
        <x:v>Nos</x:v>
      </x:c>
      <x:c r="H519" s="41" t="n">
        <x:v>0</x:v>
      </x:c>
      <x:c r="I519" s="41" t="str">
        <x:v>Dimension 2246x1643x1382mm
Net Weight: 230kg
10 years frame warranty</x:v>
      </x:c>
      <x:c r="J519" s="41" t="str">
        <x:v>Yes</x:v>
      </x:c>
      <x:c r="K519" s="41" t="str">
        <x:v>Yes</x:v>
      </x:c>
    </x:row>
    <x:row r="520">
      <x:c r="A520" s="41" t="str">
        <x:v>PXL26</x:v>
      </x:c>
      <x:c r="B520" s="41" t="str">
        <x:v>Adjustable Chest Press</x:v>
      </x:c>
      <x:c r="C520" s="41" t="str">
        <x:v>Strength</x:v>
      </x:c>
      <x:c r="D520" s="41" t="str">
        <x:v>Premier</x:v>
      </x:c>
      <x:c r="E520" s="41" t="str">
        <x:v>17</x:v>
      </x:c>
      <x:c r="F520" s="42" t="n">
        <x:v>5660</x:v>
      </x:c>
      <x:c r="G520" s="41" t="str">
        <x:v>Nos</x:v>
      </x:c>
      <x:c r="H520" s="41" t="n">
        <x:v>0</x:v>
      </x:c>
      <x:c r="I520" s="41" t="str">
        <x:v>Dimension 1920×1760×1830mm
Net Weight: 190kg
10 years frame warranty</x:v>
      </x:c>
      <x:c r="J520" s="41" t="str">
        <x:v>Yes</x:v>
      </x:c>
      <x:c r="K520" s="41" t="str">
        <x:v>Yes</x:v>
      </x:c>
    </x:row>
    <x:row r="521">
      <x:c r="A521" s="41" t="str">
        <x:v>PXL33</x:v>
      </x:c>
      <x:c r="B521" s="41" t="str">
        <x:v>45 Degree Leg Press</x:v>
      </x:c>
      <x:c r="C521" s="41" t="str">
        <x:v>Strength</x:v>
      </x:c>
      <x:c r="D521" s="41" t="str">
        <x:v>Premier</x:v>
      </x:c>
      <x:c r="E521" s="41" t="str">
        <x:v>17</x:v>
      </x:c>
      <x:c r="F521" s="42" t="n">
        <x:v>6340</x:v>
      </x:c>
      <x:c r="G521" s="41" t="str">
        <x:v>Nos</x:v>
      </x:c>
      <x:c r="H521" s="41" t="n">
        <x:v>0</x:v>
      </x:c>
      <x:c r="I521" s="41" t="str">
        <x:v>Dimension 2400x1610x1480mm
Net Weight: 260kg
10 years frame warranty</x:v>
      </x:c>
      <x:c r="J521" s="41" t="str">
        <x:v>Yes</x:v>
      </x:c>
      <x:c r="K521" s="41" t="str">
        <x:v>Yes</x:v>
      </x:c>
    </x:row>
    <x:row r="522">
      <x:c r="A522" s="41" t="str">
        <x:v>PXL22</x:v>
      </x:c>
      <x:c r="B522" s="41" t="str">
        <x:v>Seated Biceps</x:v>
      </x:c>
      <x:c r="C522" s="41" t="str">
        <x:v>Strength</x:v>
      </x:c>
      <x:c r="D522" s="41" t="str">
        <x:v>Premier</x:v>
      </x:c>
      <x:c r="E522" s="41" t="str">
        <x:v>17</x:v>
      </x:c>
      <x:c r="F522" s="42" t="n">
        <x:v>3960</x:v>
      </x:c>
      <x:c r="G522" s="41" t="str">
        <x:v>Nos</x:v>
      </x:c>
      <x:c r="H522" s="41" t="n">
        <x:v>0</x:v>
      </x:c>
      <x:c r="I522" s="41" t="str">
        <x:v>Dimension 1370x1500x1520mm
Net Weight: 106kg
10 years frame warranty</x:v>
      </x:c>
      <x:c r="J522" s="41" t="str">
        <x:v>Yes</x:v>
      </x:c>
      <x:c r="K522" s="41" t="str">
        <x:v>Yes</x:v>
      </x:c>
    </x:row>
    <x:row r="523">
      <x:c r="A523" s="41" t="str">
        <x:v>PXL40</x:v>
      </x:c>
      <x:c r="B523" s="41" t="str">
        <x:v>Chin Up/Dip&amp;Knee Up</x:v>
      </x:c>
      <x:c r="C523" s="41" t="str">
        <x:v>Strength</x:v>
      </x:c>
      <x:c r="D523" s="41" t="str">
        <x:v>Premier</x:v>
      </x:c>
      <x:c r="E523" s="41" t="str">
        <x:v>17</x:v>
      </x:c>
      <x:c r="F523" s="42" t="n">
        <x:v>2940</x:v>
      </x:c>
      <x:c r="G523" s="41" t="str">
        <x:v>Nos</x:v>
      </x:c>
      <x:c r="H523" s="41" t="n">
        <x:v>0</x:v>
      </x:c>
      <x:c r="I523" s="41" t="str">
        <x:v>Dimension 1090x1120x2320mm
Net Weight: 100kg
10 years frame warranty</x:v>
      </x:c>
      <x:c r="J523" s="41" t="str">
        <x:v>Yes</x:v>
      </x:c>
      <x:c r="K523" s="41" t="str">
        <x:v>Yes</x:v>
      </x:c>
    </x:row>
    <x:row r="524">
      <x:c r="A524" s="41" t="str">
        <x:v>PXL34</x:v>
      </x:c>
      <x:c r="B524" s="41" t="str">
        <x:v>Leg Press</x:v>
      </x:c>
      <x:c r="C524" s="41" t="str">
        <x:v>Strength</x:v>
      </x:c>
      <x:c r="D524" s="41" t="str">
        <x:v>Premier</x:v>
      </x:c>
      <x:c r="E524" s="41" t="str">
        <x:v>17</x:v>
      </x:c>
      <x:c r="F524" s="42" t="n">
        <x:v>7350</x:v>
      </x:c>
      <x:c r="G524" s="41" t="str">
        <x:v>Nos</x:v>
      </x:c>
      <x:c r="H524" s="41" t="n">
        <x:v>0</x:v>
      </x:c>
      <x:c r="I524" s="41" t="str">
        <x:v>Dimension: 2490×660×1653mm
Net Weight: 260kg
10 years frame warranty</x:v>
      </x:c>
      <x:c r="J524" s="41" t="str">
        <x:v>Yes</x:v>
      </x:c>
      <x:c r="K524" s="41" t="str">
        <x:v>Yes</x:v>
      </x:c>
    </x:row>
    <x:row r="525">
      <x:c r="A525" s="41" t="str">
        <x:v>PXL06</x:v>
      </x:c>
      <x:c r="B525" s="41" t="str">
        <x:v>Wide Chest Press</x:v>
      </x:c>
      <x:c r="C525" s="41" t="str">
        <x:v>Strength</x:v>
      </x:c>
      <x:c r="D525" s="41" t="str">
        <x:v>Premier</x:v>
      </x:c>
      <x:c r="E525" s="41" t="str">
        <x:v>17</x:v>
      </x:c>
      <x:c r="F525" s="42" t="n">
        <x:v>4300</x:v>
      </x:c>
      <x:c r="G525" s="41" t="str">
        <x:v>Nos</x:v>
      </x:c>
      <x:c r="H525" s="41" t="n">
        <x:v>0</x:v>
      </x:c>
      <x:c r="I525" s="41" t="str">
        <x:v>Dimension 1220x2030x1820mm
Net Weight: 161kg
10 years frame warranty</x:v>
      </x:c>
      <x:c r="J525" s="41" t="str">
        <x:v>Yes</x:v>
      </x:c>
      <x:c r="K525" s="41" t="str">
        <x:v>Yes</x:v>
      </x:c>
    </x:row>
    <x:row r="526">
      <x:c r="A526" s="41" t="str">
        <x:v>PXL24</x:v>
      </x:c>
      <x:c r="B526" s="41" t="str">
        <x:v>Hip Glute</x:v>
      </x:c>
      <x:c r="C526" s="41" t="str">
        <x:v>Strength</x:v>
      </x:c>
      <x:c r="D526" s="41" t="str">
        <x:v>Premier</x:v>
      </x:c>
      <x:c r="E526" s="41" t="str">
        <x:v>17</x:v>
      </x:c>
      <x:c r="F526" s="42" t="n">
        <x:v>5090</x:v>
      </x:c>
      <x:c r="G526" s="41" t="str">
        <x:v>Nos</x:v>
      </x:c>
      <x:c r="H526" s="41" t="n">
        <x:v>0</x:v>
      </x:c>
      <x:c r="I526" s="41" t="str">
        <x:v>Dimension 2210×1190×1680mm
Net Weight: 105kg
10 years frame warranty</x:v>
      </x:c>
      <x:c r="J526" s="41" t="str">
        <x:v>Yes</x:v>
      </x:c>
      <x:c r="K526" s="41" t="str">
        <x:v>Yes</x:v>
      </x:c>
    </x:row>
    <x:row r="527">
      <x:c r="A527" s="41" t="str">
        <x:v>PXL27</x:v>
      </x:c>
      <x:c r="B527" s="41" t="str">
        <x:v>Prone Back Pull Trainer</x:v>
      </x:c>
      <x:c r="C527" s="41" t="str">
        <x:v>Strength</x:v>
      </x:c>
      <x:c r="D527" s="41" t="str">
        <x:v>Premier</x:v>
      </x:c>
      <x:c r="E527" s="41" t="str">
        <x:v>17</x:v>
      </x:c>
      <x:c r="F527" s="42" t="n">
        <x:v>5660</x:v>
      </x:c>
      <x:c r="G527" s="41" t="str">
        <x:v>Nos</x:v>
      </x:c>
      <x:c r="H527" s="41" t="n">
        <x:v>0</x:v>
      </x:c>
      <x:c r="I527" s="41" t="str">
        <x:v>Dimension 1810×1860×1230mm
Net Weight: 209kg
10 years frame warranty</x:v>
      </x:c>
      <x:c r="J527" s="41" t="str">
        <x:v>Yes</x:v>
      </x:c>
      <x:c r="K527" s="41" t="str">
        <x:v>Yes</x:v>
      </x:c>
    </x:row>
    <x:row r="528">
      <x:c r="A528" s="41" t="str">
        <x:v>PXL03</x:v>
      </x:c>
      <x:c r="B528" s="41" t="str">
        <x:v>Seated Chest Press</x:v>
      </x:c>
      <x:c r="C528" s="41" t="str">
        <x:v>Strength</x:v>
      </x:c>
      <x:c r="D528" s="41" t="str">
        <x:v>Premier</x:v>
      </x:c>
      <x:c r="E528" s="41" t="str">
        <x:v>17</x:v>
      </x:c>
      <x:c r="F528" s="42" t="n">
        <x:v>4300</x:v>
      </x:c>
      <x:c r="G528" s="41" t="str">
        <x:v>Nos</x:v>
      </x:c>
      <x:c r="H528" s="41" t="n">
        <x:v>0</x:v>
      </x:c>
      <x:c r="I528" s="41" t="str">
        <x:v>Dimension 1920x1300x1880mm
Net Weight: 160kg
10 years frame warranty</x:v>
      </x:c>
      <x:c r="J528" s="41" t="str">
        <x:v>Yes</x:v>
      </x:c>
      <x:c r="K528" s="41" t="str">
        <x:v>Yes</x:v>
      </x:c>
    </x:row>
    <x:row r="529">
      <x:c r="A529" s="41" t="str">
        <x:v>PXL20</x:v>
      </x:c>
      <x:c r="B529" s="41" t="str">
        <x:v>Wide Pulldown</x:v>
      </x:c>
      <x:c r="C529" s="41" t="str">
        <x:v>Strength</x:v>
      </x:c>
      <x:c r="D529" s="41" t="str">
        <x:v>Premier</x:v>
      </x:c>
      <x:c r="E529" s="41" t="str">
        <x:v>17</x:v>
      </x:c>
      <x:c r="F529" s="42" t="n">
        <x:v>4300</x:v>
      </x:c>
      <x:c r="G529" s="41" t="str">
        <x:v>Nos</x:v>
      </x:c>
      <x:c r="H529" s="41" t="n">
        <x:v>0</x:v>
      </x:c>
      <x:c r="I529" s="41" t="str">
        <x:v>Dimension 1750x1250x2060mm
Net Weight: 147kg
10 years frame warranty</x:v>
      </x:c>
      <x:c r="J529" s="41" t="str">
        <x:v>Yes</x:v>
      </x:c>
      <x:c r="K529" s="41" t="str">
        <x:v>Yes</x:v>
      </x:c>
    </x:row>
    <x:row r="530">
      <x:c r="A530" s="41" t="str">
        <x:v>PXL38</x:v>
      </x:c>
      <x:c r="B530" s="41" t="str">
        <x:v>Abdominal Crunch</x:v>
      </x:c>
      <x:c r="C530" s="41" t="str">
        <x:v>Strength</x:v>
      </x:c>
      <x:c r="D530" s="41" t="str">
        <x:v>Premier</x:v>
      </x:c>
      <x:c r="E530" s="41" t="str">
        <x:v>17</x:v>
      </x:c>
      <x:c r="F530" s="42" t="n">
        <x:v>5760</x:v>
      </x:c>
      <x:c r="G530" s="41" t="str">
        <x:v>Nos</x:v>
      </x:c>
      <x:c r="H530" s="41" t="n">
        <x:v>0</x:v>
      </x:c>
      <x:c r="I530" s="41" t="str">
        <x:v>Dimension: 1126x1143x1627mm
Net Weight: 134kg
10 years frame warranty</x:v>
      </x:c>
      <x:c r="J530" s="41" t="str">
        <x:v>Yes</x:v>
      </x:c>
      <x:c r="K530" s="41" t="str">
        <x:v>Yes</x:v>
      </x:c>
    </x:row>
    <x:row r="531">
      <x:c r="A531" s="41" t="str">
        <x:v>PXL05</x:v>
      </x:c>
      <x:c r="B531" s="41" t="str">
        <x:v>ISO Lateral Row</x:v>
      </x:c>
      <x:c r="C531" s="41" t="str">
        <x:v>Strength</x:v>
      </x:c>
      <x:c r="D531" s="41" t="str">
        <x:v>Premier</x:v>
      </x:c>
      <x:c r="E531" s="41" t="str">
        <x:v>17</x:v>
      </x:c>
      <x:c r="F531" s="42" t="n">
        <x:v>4070</x:v>
      </x:c>
      <x:c r="G531" s="41" t="str">
        <x:v>Nos</x:v>
      </x:c>
      <x:c r="H531" s="41" t="n">
        <x:v>0</x:v>
      </x:c>
      <x:c r="I531" s="41" t="str">
        <x:v>Dimension 1500x1440x1370mm
Net Weight: 128kg
10 years frame warranty</x:v>
      </x:c>
      <x:c r="J531" s="41" t="str">
        <x:v>Yes</x:v>
      </x:c>
      <x:c r="K531" s="41" t="str">
        <x:v>Yes</x:v>
      </x:c>
    </x:row>
    <x:row r="532">
      <x:c r="A532" s="41" t="str">
        <x:v>PXL07</x:v>
      </x:c>
      <x:c r="B532" s="41" t="str">
        <x:v>Squat Lunge</x:v>
      </x:c>
      <x:c r="C532" s="41" t="str">
        <x:v>Strength</x:v>
      </x:c>
      <x:c r="D532" s="41" t="str">
        <x:v>Premier</x:v>
      </x:c>
      <x:c r="E532" s="41" t="str">
        <x:v>17</x:v>
      </x:c>
      <x:c r="F532" s="42" t="n">
        <x:v>4300</x:v>
      </x:c>
      <x:c r="G532" s="41" t="str">
        <x:v>Nos</x:v>
      </x:c>
      <x:c r="H532" s="41" t="n">
        <x:v>0</x:v>
      </x:c>
      <x:c r="I532" s="41" t="str">
        <x:v>Dimension 1365x1720x880mm
Net Weight: 90kg
10 years frame warranty</x:v>
      </x:c>
      <x:c r="J532" s="41" t="str">
        <x:v>Yes</x:v>
      </x:c>
      <x:c r="K532" s="41" t="str">
        <x:v>Yes</x:v>
      </x:c>
    </x:row>
    <x:row r="533">
      <x:c r="A533" s="41" t="str">
        <x:v>PXL17</x:v>
      </x:c>
      <x:c r="B533" s="41" t="str">
        <x:v>Shoulder Press</x:v>
      </x:c>
      <x:c r="C533" s="41" t="str">
        <x:v>Strength</x:v>
      </x:c>
      <x:c r="D533" s="41" t="str">
        <x:v>Premier</x:v>
      </x:c>
      <x:c r="E533" s="41" t="str">
        <x:v>17</x:v>
      </x:c>
      <x:c r="F533" s="42" t="n">
        <x:v>4300</x:v>
      </x:c>
      <x:c r="G533" s="41" t="str">
        <x:v>Nos</x:v>
      </x:c>
      <x:c r="H533" s="41" t="n">
        <x:v>0</x:v>
      </x:c>
      <x:c r="I533" s="41" t="str">
        <x:v>Dimension 1450x1890x1570mm
Net Weight: 130kg
10 years frame warranty</x:v>
      </x:c>
      <x:c r="J533" s="41" t="str">
        <x:v>Yes</x:v>
      </x:c>
      <x:c r="K533" s="41" t="str">
        <x:v>Yes</x:v>
      </x:c>
    </x:row>
    <x:row r="534">
      <x:c r="A534" s="41" t="str">
        <x:v>PXL12</x:v>
      </x:c>
      <x:c r="B534" s="41" t="str">
        <x:v>Front Lat Pulldown</x:v>
      </x:c>
      <x:c r="C534" s="41" t="str">
        <x:v>Strength</x:v>
      </x:c>
      <x:c r="D534" s="41" t="str">
        <x:v>Premier</x:v>
      </x:c>
      <x:c r="E534" s="41" t="str">
        <x:v>17</x:v>
      </x:c>
      <x:c r="F534" s="42" t="n">
        <x:v>4300</x:v>
      </x:c>
      <x:c r="G534" s="41" t="str">
        <x:v>Nos</x:v>
      </x:c>
      <x:c r="H534" s="41" t="n">
        <x:v>0</x:v>
      </x:c>
      <x:c r="I534" s="41" t="str">
        <x:v>Dimension 1930×1520×2020mm
Net Weight: 155kg
10 years frame warranty</x:v>
      </x:c>
      <x:c r="J534" s="41" t="str">
        <x:v>Yes</x:v>
      </x:c>
      <x:c r="K534" s="41" t="str">
        <x:v>Yes</x:v>
      </x:c>
    </x:row>
    <x:row r="535">
      <x:c r="A535" s="41" t="str">
        <x:v>PXL31</x:v>
      </x:c>
      <x:c r="B535" s="41" t="str">
        <x:v>Pull Over</x:v>
      </x:c>
      <x:c r="C535" s="41" t="str">
        <x:v>Strength</x:v>
      </x:c>
      <x:c r="D535" s="41" t="str">
        <x:v>Premier</x:v>
      </x:c>
      <x:c r="E535" s="41" t="str">
        <x:v>17</x:v>
      </x:c>
      <x:c r="F535" s="42" t="n">
        <x:v>4300</x:v>
      </x:c>
      <x:c r="G535" s="41" t="str">
        <x:v>Nos</x:v>
      </x:c>
      <x:c r="H535" s="41" t="n">
        <x:v>0</x:v>
      </x:c>
      <x:c r="I535" s="41" t="str">
        <x:v>Dimension 1670x1935x1670mm
Net Weight: 150kg
10 years frame warranty</x:v>
      </x:c>
      <x:c r="J535" s="41" t="str">
        <x:v>Yes</x:v>
      </x:c>
      <x:c r="K535" s="41" t="str">
        <x:v>Yes</x:v>
      </x:c>
    </x:row>
    <x:row r="536">
      <x:c r="A536" s="41" t="str">
        <x:v>PXL39</x:v>
      </x:c>
      <x:c r="B536" s="41" t="str">
        <x:v>V Squat</x:v>
      </x:c>
      <x:c r="C536" s="41" t="str">
        <x:v>Strength</x:v>
      </x:c>
      <x:c r="D536" s="41" t="str">
        <x:v>Premier</x:v>
      </x:c>
      <x:c r="E536" s="41" t="str">
        <x:v>17</x:v>
      </x:c>
      <x:c r="F536" s="42" t="n">
        <x:v>5880</x:v>
      </x:c>
      <x:c r="G536" s="41" t="str">
        <x:v>Nos</x:v>
      </x:c>
      <x:c r="H536" s="41" t="n">
        <x:v>0</x:v>
      </x:c>
      <x:c r="I536" s="41" t="str">
        <x:v>Dimension 2200x1290x1840mm
Net Weight: 210kg
10 years frame warranty</x:v>
      </x:c>
      <x:c r="J536" s="41" t="str">
        <x:v>Yes</x:v>
      </x:c>
      <x:c r="K536" s="41" t="str">
        <x:v>Yes</x:v>
      </x:c>
    </x:row>
    <x:row r="537">
      <x:c r="A537" s="41" t="str">
        <x:v>PXL21</x:v>
      </x:c>
      <x:c r="B537" s="41" t="str">
        <x:v>Laydown Chest Press</x:v>
      </x:c>
      <x:c r="C537" s="41" t="str">
        <x:v>Strength</x:v>
      </x:c>
      <x:c r="D537" s="41" t="str">
        <x:v>Premier</x:v>
      </x:c>
      <x:c r="E537" s="41" t="str">
        <x:v>17</x:v>
      </x:c>
      <x:c r="F537" s="42" t="n">
        <x:v>3960</x:v>
      </x:c>
      <x:c r="G537" s="41" t="str">
        <x:v>Nos</x:v>
      </x:c>
      <x:c r="H537" s="41" t="n">
        <x:v>0</x:v>
      </x:c>
      <x:c r="I537" s="41" t="str">
        <x:v>Dimension 1790x1790x1100mm
Net Weight: 98kg
10 years frame warranty</x:v>
      </x:c>
      <x:c r="J537" s="41" t="str">
        <x:v>Yes</x:v>
      </x:c>
      <x:c r="K537" s="41" t="str">
        <x:v>Yes</x:v>
      </x:c>
    </x:row>
    <x:row r="538">
      <x:c r="A538" s="41" t="str">
        <x:v>PXL29</x:v>
      </x:c>
      <x:c r="B538" s="41" t="str">
        <x:v>Kneeling Leg Curl</x:v>
      </x:c>
      <x:c r="C538" s="41" t="str">
        <x:v>Strength</x:v>
      </x:c>
      <x:c r="D538" s="41" t="str">
        <x:v>Premier</x:v>
      </x:c>
      <x:c r="E538" s="41" t="str">
        <x:v>17</x:v>
      </x:c>
      <x:c r="F538" s="42" t="n">
        <x:v>4300</x:v>
      </x:c>
      <x:c r="G538" s="41" t="str">
        <x:v>Nos</x:v>
      </x:c>
      <x:c r="H538" s="41" t="n">
        <x:v>0</x:v>
      </x:c>
      <x:c r="I538" s="41" t="str">
        <x:v>Dimension 1685x1415x1150mm
Net Weight: 105kg
10 years frame warranty</x:v>
      </x:c>
      <x:c r="J538" s="41" t="str">
        <x:v>Yes</x:v>
      </x:c>
      <x:c r="K538" s="41" t="str">
        <x:v>Yes</x:v>
      </x:c>
    </x:row>
    <x:row r="539">
      <x:c r="A539" s="41" t="str">
        <x:v>PXL16</x:v>
      </x:c>
      <x:c r="B539" s="41" t="str">
        <x:v>Seated Calf Machine</x:v>
      </x:c>
      <x:c r="C539" s="41" t="str">
        <x:v>Strength</x:v>
      </x:c>
      <x:c r="D539" s="41" t="str">
        <x:v>Premier</x:v>
      </x:c>
      <x:c r="E539" s="41" t="str">
        <x:v>17</x:v>
      </x:c>
      <x:c r="F539" s="42" t="n">
        <x:v>2490</x:v>
      </x:c>
      <x:c r="G539" s="41" t="str">
        <x:v>Nos</x:v>
      </x:c>
      <x:c r="H539" s="41" t="n">
        <x:v>0</x:v>
      </x:c>
      <x:c r="I539" s="41" t="str">
        <x:v>Dimension 750x1260x850mm
Net Weight: 69kg
10 years frame warranty</x:v>
      </x:c>
      <x:c r="J539" s="41" t="str">
        <x:v>Yes</x:v>
      </x:c>
      <x:c r="K539" s="41" t="str">
        <x:v>Yes</x:v>
      </x:c>
    </x:row>
    <x:row r="540">
      <x:c r="A540" s="41" t="str">
        <x:v>PXL10</x:v>
      </x:c>
      <x:c r="B540" s="41" t="str">
        <x:v>Seated DY Row</x:v>
      </x:c>
      <x:c r="C540" s="41" t="str">
        <x:v>Strength</x:v>
      </x:c>
      <x:c r="D540" s="41" t="str">
        <x:v>Premier</x:v>
      </x:c>
      <x:c r="E540" s="41" t="str">
        <x:v>17</x:v>
      </x:c>
      <x:c r="F540" s="42" t="n">
        <x:v>4300</x:v>
      </x:c>
      <x:c r="G540" s="41" t="str">
        <x:v>Nos</x:v>
      </x:c>
      <x:c r="H540" s="41" t="n">
        <x:v>0</x:v>
      </x:c>
      <x:c r="I540" s="41" t="str">
        <x:v>Dimension 1550x1340x1223mm
Net Weight: 160kg
10 years frame warranty</x:v>
      </x:c>
      <x:c r="J540" s="41" t="str">
        <x:v>Yes</x:v>
      </x:c>
      <x:c r="K540" s="41" t="str">
        <x:v>Yes</x:v>
      </x:c>
    </x:row>
    <x:row r="541">
      <x:c r="A541" s="41" t="str">
        <x:v>PXL11</x:v>
      </x:c>
      <x:c r="B541" s="41" t="str">
        <x:v>Seated Incline Chest Press</x:v>
      </x:c>
      <x:c r="C541" s="41" t="str">
        <x:v>Strength</x:v>
      </x:c>
      <x:c r="D541" s="41" t="str">
        <x:v>Premier</x:v>
      </x:c>
      <x:c r="E541" s="41" t="str">
        <x:v>17</x:v>
      </x:c>
      <x:c r="F541" s="42" t="n">
        <x:v>4300</x:v>
      </x:c>
      <x:c r="G541" s="41" t="str">
        <x:v>Nos</x:v>
      </x:c>
      <x:c r="H541" s="41" t="n">
        <x:v>0</x:v>
      </x:c>
      <x:c r="I541" s="41" t="str">
        <x:v>Dimension 1280x1700x1575mm
Net Weight: 128kg
10 years frame warranty</x:v>
      </x:c>
      <x:c r="J541" s="41" t="str">
        <x:v>Yes</x:v>
      </x:c>
      <x:c r="K541" s="41" t="str">
        <x:v>Yes</x:v>
      </x:c>
    </x:row>
    <x:row r="542">
      <x:c r="A542" s="41" t="str">
        <x:v>PXL02</x:v>
      </x:c>
      <x:c r="B542" s="41" t="str">
        <x:v>Rowing Lat Pull Down</x:v>
      </x:c>
      <x:c r="C542" s="41" t="str">
        <x:v>Strength</x:v>
      </x:c>
      <x:c r="D542" s="41" t="str">
        <x:v>Premier</x:v>
      </x:c>
      <x:c r="E542" s="41" t="str">
        <x:v>17</x:v>
      </x:c>
      <x:c r="F542" s="42" t="n">
        <x:v>4300</x:v>
      </x:c>
      <x:c r="G542" s="41" t="str">
        <x:v>Nos</x:v>
      </x:c>
      <x:c r="H542" s="41" t="n">
        <x:v>0</x:v>
      </x:c>
      <x:c r="I542" s="41" t="str">
        <x:v>Dimension 1600x1600x2030mm
Net Weight: 160kg
10 years frame warranty</x:v>
      </x:c>
      <x:c r="J542" s="41" t="str">
        <x:v>Yes</x:v>
      </x:c>
      <x:c r="K542" s="41" t="str">
        <x:v>Yes</x:v>
      </x:c>
    </x:row>
    <x:row r="543">
      <x:c r="A543" s="41" t="str">
        <x:v>PXL08</x:v>
      </x:c>
      <x:c r="B543" s="41" t="str">
        <x:v>Smith Machine</x:v>
      </x:c>
      <x:c r="C543" s="41" t="str">
        <x:v>Strength</x:v>
      </x:c>
      <x:c r="D543" s="41" t="str">
        <x:v>Premier</x:v>
      </x:c>
      <x:c r="E543" s="41" t="str">
        <x:v>17</x:v>
      </x:c>
      <x:c r="F543" s="42" t="n">
        <x:v>7690</x:v>
      </x:c>
      <x:c r="G543" s="41" t="str">
        <x:v>Nos</x:v>
      </x:c>
      <x:c r="H543" s="41" t="n">
        <x:v>0</x:v>
      </x:c>
      <x:c r="I543" s="41" t="str">
        <x:v>Dimension 2245x1340x2285mm
Net Weight: 187kg
10 years frame warranty</x:v>
      </x:c>
      <x:c r="J543" s="41" t="str">
        <x:v>Yes</x:v>
      </x:c>
      <x:c r="K543" s="41" t="str">
        <x:v>Yes</x:v>
      </x:c>
    </x:row>
    <x:row r="544">
      <x:c r="A544" s="41" t="str">
        <x:v>PXL41</x:v>
      </x:c>
      <x:c r="B544" s="41" t="str">
        <x:v>Roman Chair (Hyper/Back Extension)</x:v>
      </x:c>
      <x:c r="C544" s="41" t="str">
        <x:v>Strength</x:v>
      </x:c>
      <x:c r="D544" s="41" t="str">
        <x:v>Premier</x:v>
      </x:c>
      <x:c r="E544" s="41" t="str">
        <x:v>17</x:v>
      </x:c>
      <x:c r="F544" s="42" t="n">
        <x:v>2040</x:v>
      </x:c>
      <x:c r="G544" s="41" t="str">
        <x:v>Nos</x:v>
      </x:c>
      <x:c r="H544" s="41" t="n">
        <x:v>0</x:v>
      </x:c>
      <x:c r="I544" s="41" t="str">
        <x:v>Dimension 1540x750x820mm
Net Weight: 59kg
10 years frame warranty</x:v>
      </x:c>
      <x:c r="J544" s="41" t="str">
        <x:v>Yes</x:v>
      </x:c>
      <x:c r="K544" s="41" t="str">
        <x:v>Yes</x:v>
      </x:c>
    </x:row>
    <x:row r="545">
      <x:c r="A545" s="41" t="str">
        <x:v>PXL13</x:v>
      </x:c>
      <x:c r="B545" s="41" t="str">
        <x:v>Arm Curl</x:v>
      </x:c>
      <x:c r="C545" s="41" t="str">
        <x:v>Strength</x:v>
      </x:c>
      <x:c r="D545" s="41" t="str">
        <x:v>Premier</x:v>
      </x:c>
      <x:c r="E545" s="41" t="str">
        <x:v>17</x:v>
      </x:c>
      <x:c r="F545" s="42" t="n">
        <x:v>2490</x:v>
      </x:c>
      <x:c r="G545" s="41" t="str">
        <x:v>Nos</x:v>
      </x:c>
      <x:c r="H545" s="41" t="n">
        <x:v>0</x:v>
      </x:c>
      <x:c r="I545" s="41" t="str">
        <x:v>Dimension 1150x820x1060mm
Net Weight: 79kg
10 years frame warranty</x:v>
      </x:c>
      <x:c r="J545" s="41" t="str">
        <x:v>Yes</x:v>
      </x:c>
      <x:c r="K545" s="41" t="str">
        <x:v>Yes</x:v>
      </x:c>
    </x:row>
    <x:row r="546">
      <x:c r="A546" s="41" t="str">
        <x:v>PXL15</x:v>
      </x:c>
      <x:c r="B546" s="41" t="str">
        <x:v>Pull training machine</x:v>
      </x:c>
      <x:c r="C546" s="41" t="str">
        <x:v>Strength</x:v>
      </x:c>
      <x:c r="D546" s="41" t="str">
        <x:v>Premier</x:v>
      </x:c>
      <x:c r="E546" s="41" t="str">
        <x:v>17</x:v>
      </x:c>
      <x:c r="F546" s="42" t="n">
        <x:v>4300</x:v>
      </x:c>
      <x:c r="G546" s="41" t="str">
        <x:v>Nos</x:v>
      </x:c>
      <x:c r="H546" s="41" t="n">
        <x:v>0</x:v>
      </x:c>
      <x:c r="I546" s="41" t="str">
        <x:v>Dimension 1745x1655x1065mm
Net Weight: 92kg
10 years frame warranty</x:v>
      </x:c>
      <x:c r="J546" s="41" t="str">
        <x:v>Yes</x:v>
      </x:c>
      <x:c r="K546" s="41" t="str">
        <x:v>Yes</x:v>
      </x:c>
    </x:row>
    <x:row r="547">
      <x:c r="A547" s="41" t="str">
        <x:v>PXL28</x:v>
      </x:c>
      <x:c r="B547" s="41" t="str">
        <x:v>Incline Pecfly</x:v>
      </x:c>
      <x:c r="C547" s="41" t="str">
        <x:v>Strength</x:v>
      </x:c>
      <x:c r="D547" s="41" t="str">
        <x:v>Premier</x:v>
      </x:c>
      <x:c r="E547" s="41" t="str">
        <x:v>17</x:v>
      </x:c>
      <x:c r="F547" s="42" t="n">
        <x:v>3960</x:v>
      </x:c>
      <x:c r="G547" s="41" t="str">
        <x:v>Nos</x:v>
      </x:c>
      <x:c r="H547" s="41" t="n">
        <x:v>0</x:v>
      </x:c>
      <x:c r="I547" s="41" t="str">
        <x:v>Dimension 1630x1640x1100mm
Net Weight: 107kg
10 years frame warranty</x:v>
      </x:c>
      <x:c r="J547" s="41" t="str">
        <x:v>Yes</x:v>
      </x:c>
      <x:c r="K547" s="41" t="str">
        <x:v>Yes</x:v>
      </x:c>
    </x:row>
    <x:row r="548">
      <x:c r="A548" s="41" t="str">
        <x:v>PXL18</x:v>
      </x:c>
      <x:c r="B548" s="41" t="str">
        <x:v>Low Row</x:v>
      </x:c>
      <x:c r="C548" s="41" t="str">
        <x:v>Strength</x:v>
      </x:c>
      <x:c r="D548" s="41" t="str">
        <x:v>Premier</x:v>
      </x:c>
      <x:c r="E548" s="41" t="str">
        <x:v>17</x:v>
      </x:c>
      <x:c r="F548" s="42" t="n">
        <x:v>4300</x:v>
      </x:c>
      <x:c r="G548" s="41" t="str">
        <x:v>Nos</x:v>
      </x:c>
      <x:c r="H548" s="41" t="n">
        <x:v>0</x:v>
      </x:c>
      <x:c r="I548" s="41" t="str">
        <x:v>Dimension 1390x1370x1690mm
Net Weight: 133kg
10 years frame warranty</x:v>
      </x:c>
      <x:c r="J548" s="41" t="str">
        <x:v>Yes</x:v>
      </x:c>
      <x:c r="K548" s="41" t="str">
        <x:v>Yes</x:v>
      </x:c>
    </x:row>
    <x:row r="549">
      <x:c r="A549" s="41" t="str">
        <x:v>PXN05</x:v>
      </x:c>
      <x:c r="B549" s="41" t="str">
        <x:v>Bicep Curl</x:v>
      </x:c>
      <x:c r="C549" s="41" t="str">
        <x:v>Strength</x:v>
      </x:c>
      <x:c r="D549" s="41" t="str">
        <x:v>Premier</x:v>
      </x:c>
      <x:c r="E549" s="41" t="str">
        <x:v>17</x:v>
      </x:c>
      <x:c r="F549" s="42" t="n">
        <x:v>7620</x:v>
      </x:c>
      <x:c r="G549" s="41" t="str">
        <x:v>Nos</x:v>
      </x:c>
      <x:c r="H549" s="41" t="n">
        <x:v>0</x:v>
      </x:c>
      <x:c r="I549" s="41" t="str">
        <x:v>Dimension: 1303x960x1581mm | Weight Stack: 100 kg
Net Weight 236 kg
10 years frame warranty</x:v>
      </x:c>
      <x:c r="J549" s="41" t="str">
        <x:v>Yes</x:v>
      </x:c>
      <x:c r="K549" s="41" t="str">
        <x:v>Yes</x:v>
      </x:c>
    </x:row>
    <x:row r="550">
      <x:c r="A550" s="41" t="str">
        <x:v>PXN32D</x:v>
      </x:c>
      <x:c r="B550" s="41" t="str">
        <x:v>Multi-Jungle (4 Station)</x:v>
      </x:c>
      <x:c r="C550" s="41" t="str">
        <x:v>Strength</x:v>
      </x:c>
      <x:c r="D550" s="41" t="str">
        <x:v>Premier</x:v>
      </x:c>
      <x:c r="E550" s="41" t="str">
        <x:v>17</x:v>
      </x:c>
      <x:c r="F550" s="42" t="n">
        <x:v>16490</x:v>
      </x:c>
      <x:c r="G550" s="41" t="str">
        <x:v>Nos</x:v>
      </x:c>
      <x:c r="H550" s="41" t="n">
        <x:v>0</x:v>
      </x:c>
      <x:c r="I550" s="41" t="str">
        <x:v>Dimension: 3860x1750x2440mm | Weight Stack: 100 kg x 4 | High Pulley (Lat Pulldown)
Low Pulley (Seated Row) | Triceps Station x 2
Net Weight 860 kg | 10 years frame warranty</x:v>
      </x:c>
      <x:c r="J550" s="41" t="str">
        <x:v>Yes</x:v>
      </x:c>
      <x:c r="K550" s="41" t="str">
        <x:v>Yes</x:v>
      </x:c>
    </x:row>
    <x:row r="551">
      <x:c r="A551" s="41" t="str">
        <x:v>PXN22</x:v>
      </x:c>
      <x:c r="B551" s="41" t="str">
        <x:v>High Pulley / Seated Row (Lat Pulldown)</x:v>
      </x:c>
      <x:c r="C551" s="41" t="str">
        <x:v>Strength</x:v>
      </x:c>
      <x:c r="D551" s="41" t="str">
        <x:v>Premier</x:v>
      </x:c>
      <x:c r="E551" s="41" t="str">
        <x:v>17</x:v>
      </x:c>
      <x:c r="F551" s="42" t="n">
        <x:v>7090</x:v>
      </x:c>
      <x:c r="G551" s="41" t="str">
        <x:v>Nos</x:v>
      </x:c>
      <x:c r="H551" s="41" t="n">
        <x:v>0</x:v>
      </x:c>
      <x:c r="I551" s="41" t="str">
        <x:v>Dimension: 2150x1150x350mm | Weight Stack: 100 kg
Net Weight 255 kg
10 years frame warranty</x:v>
      </x:c>
      <x:c r="J551" s="41" t="str">
        <x:v>Yes</x:v>
      </x:c>
      <x:c r="K551" s="41" t="str">
        <x:v>Yes</x:v>
      </x:c>
    </x:row>
    <x:row r="552">
      <x:c r="A552" s="41" t="str">
        <x:v>PXN08</x:v>
      </x:c>
      <x:c r="B552" s="41" t="str">
        <x:v>Lower Back</x:v>
      </x:c>
      <x:c r="C552" s="41" t="str">
        <x:v>Strength</x:v>
      </x:c>
      <x:c r="D552" s="41" t="str">
        <x:v>Premier</x:v>
      </x:c>
      <x:c r="E552" s="41" t="str">
        <x:v>17</x:v>
      </x:c>
      <x:c r="F552" s="42" t="n">
        <x:v>7920</x:v>
      </x:c>
      <x:c r="G552" s="41" t="str">
        <x:v>Nos</x:v>
      </x:c>
      <x:c r="H552" s="41" t="n">
        <x:v>0</x:v>
      </x:c>
      <x:c r="I552" s="41" t="str">
        <x:v>Dimension: 1247x1046x1581mm | Weight Stack: 100 kg
Net Weight 250 kg
10 years frame warranty</x:v>
      </x:c>
      <x:c r="J552" s="41" t="str">
        <x:v>Yes</x:v>
      </x:c>
      <x:c r="K552" s="41" t="str">
        <x:v>Yes</x:v>
      </x:c>
    </x:row>
    <x:row r="553">
      <x:c r="A553" s="41" t="str">
        <x:v>PXN23</x:v>
      </x:c>
      <x:c r="B553" s="41" t="str">
        <x:v>Leg Extension / Curl</x:v>
      </x:c>
      <x:c r="C553" s="41" t="str">
        <x:v>Strength</x:v>
      </x:c>
      <x:c r="D553" s="41" t="str">
        <x:v>Premier</x:v>
      </x:c>
      <x:c r="E553" s="41" t="str">
        <x:v>17</x:v>
      </x:c>
      <x:c r="F553" s="42" t="n">
        <x:v>8120</x:v>
      </x:c>
      <x:c r="G553" s="41" t="str">
        <x:v>Nos</x:v>
      </x:c>
      <x:c r="H553" s="41" t="n">
        <x:v>0</x:v>
      </x:c>
      <x:c r="I553" s="41" t="str">
        <x:v>Dimension: 1400x1200x1660mm | Weight Stack: 100 kg
Net Weight 270 kg
10 years frame warranty</x:v>
      </x:c>
      <x:c r="J553" s="41" t="str">
        <x:v>Yes</x:v>
      </x:c>
      <x:c r="K553" s="41" t="str">
        <x:v>Yes</x:v>
      </x:c>
    </x:row>
    <x:row r="554">
      <x:c r="A554" s="41" t="str">
        <x:v>PXN20</x:v>
      </x:c>
      <x:c r="B554" s="41" t="str">
        <x:v>Biceps / Triceps Curl</x:v>
      </x:c>
      <x:c r="C554" s="41" t="str">
        <x:v>Strength</x:v>
      </x:c>
      <x:c r="D554" s="41" t="str">
        <x:v>Premier</x:v>
      </x:c>
      <x:c r="E554" s="41" t="str">
        <x:v>17</x:v>
      </x:c>
      <x:c r="F554" s="42" t="n">
        <x:v>7440</x:v>
      </x:c>
      <x:c r="G554" s="41" t="str">
        <x:v>Nos</x:v>
      </x:c>
      <x:c r="H554" s="41" t="n">
        <x:v>0</x:v>
      </x:c>
      <x:c r="I554" s="41" t="str">
        <x:v>Dimension: 1120x950x500mm | Weight Stack: 100 kg
Net Weight 255 kg
10 years frame warranty</x:v>
      </x:c>
      <x:c r="J554" s="41" t="str">
        <x:v>Yes</x:v>
      </x:c>
      <x:c r="K554" s="41" t="str">
        <x:v>Yes</x:v>
      </x:c>
    </x:row>
    <x:row r="555">
      <x:c r="A555" s="41" t="str">
        <x:v>PXN28</x:v>
      </x:c>
      <x:c r="B555" s="41" t="str">
        <x:v>Adjustable Crossover</x:v>
      </x:c>
      <x:c r="C555" s="41" t="str">
        <x:v>Strength</x:v>
      </x:c>
      <x:c r="D555" s="41" t="str">
        <x:v>Premier</x:v>
      </x:c>
      <x:c r="E555" s="41" t="str">
        <x:v>17</x:v>
      </x:c>
      <x:c r="F555" s="42" t="n">
        <x:v>8940</x:v>
      </x:c>
      <x:c r="G555" s="41" t="str">
        <x:v>Nos</x:v>
      </x:c>
      <x:c r="H555" s="41" t="n">
        <x:v>0</x:v>
      </x:c>
      <x:c r="I555" s="41" t="str">
        <x:v>Dimension: 4230×725×2390mm | Weight Stack:96kg×2
Net Weight: 390kg
10 years frame warranty</x:v>
      </x:c>
      <x:c r="J555" s="41" t="str">
        <x:v>Yes</x:v>
      </x:c>
      <x:c r="K555" s="41" t="str">
        <x:v>Yes</x:v>
      </x:c>
    </x:row>
    <x:row r="556">
      <x:c r="A556" s="41" t="str">
        <x:v>PXN34</x:v>
      </x:c>
      <x:c r="B556" s="41" t="str">
        <x:v>Multi-Jungle (5 Station)</x:v>
      </x:c>
      <x:c r="C556" s="41" t="str">
        <x:v>Strength</x:v>
      </x:c>
      <x:c r="D556" s="41" t="str">
        <x:v>Premier</x:v>
      </x:c>
      <x:c r="E556" s="41" t="str">
        <x:v>17</x:v>
      </x:c>
      <x:c r="F556" s="42" t="n">
        <x:v>27870</x:v>
      </x:c>
      <x:c r="G556" s="41" t="str">
        <x:v>Nos</x:v>
      </x:c>
      <x:c r="H556" s="41" t="n">
        <x:v>0</x:v>
      </x:c>
      <x:c r="I556" s="41" t="str">
        <x:v>Dimension: 5340x3860x2440mm | Weight Stack: 100 kg x 5 | High Pulley (Lat Pulldown)
Low Pulley (Seated Row) | Triceps Station x 2 | Assisted Pull-up
Net Weight 960 kg | 10 years frame warranty</x:v>
      </x:c>
      <x:c r="J556" s="41" t="str">
        <x:v>Yes</x:v>
      </x:c>
      <x:c r="K556" s="41" t="str">
        <x:v>Yes</x:v>
      </x:c>
    </x:row>
    <x:row r="557">
      <x:c r="A557" s="41" t="str">
        <x:v>PXN07</x:v>
      </x:c>
      <x:c r="B557" s="41" t="str">
        <x:v>Assisted Chin/Dip</x:v>
      </x:c>
      <x:c r="C557" s="41" t="str">
        <x:v>Strength</x:v>
      </x:c>
      <x:c r="D557" s="41" t="str">
        <x:v>Premier</x:v>
      </x:c>
      <x:c r="E557" s="41" t="str">
        <x:v>17</x:v>
      </x:c>
      <x:c r="F557" s="42" t="n">
        <x:v>9980</x:v>
      </x:c>
      <x:c r="G557" s="41" t="str">
        <x:v>Nos</x:v>
      </x:c>
      <x:c r="H557" s="41" t="n">
        <x:v>0</x:v>
      </x:c>
      <x:c r="I557" s="41" t="str">
        <x:v>Dimension: 1423x1327x2379mm | Weight Stack: 100 kg
Net Weight 313 kg
10 years frame warranty</x:v>
      </x:c>
      <x:c r="J557" s="41" t="str">
        <x:v>Yes</x:v>
      </x:c>
      <x:c r="K557" s="41" t="str">
        <x:v>Yes</x:v>
      </x:c>
    </x:row>
    <x:row r="558">
      <x:c r="A558" s="41" t="str">
        <x:v>PXN06</x:v>
      </x:c>
      <x:c r="B558" s="41" t="str">
        <x:v>Tricep Press</x:v>
      </x:c>
      <x:c r="C558" s="41" t="str">
        <x:v>Strength</x:v>
      </x:c>
      <x:c r="D558" s="41" t="str">
        <x:v>Premier</x:v>
      </x:c>
      <x:c r="E558" s="41" t="str">
        <x:v>17</x:v>
      </x:c>
      <x:c r="F558" s="42" t="n">
        <x:v>7290</x:v>
      </x:c>
      <x:c r="G558" s="41" t="str">
        <x:v>Nos</x:v>
      </x:c>
      <x:c r="H558" s="41" t="n">
        <x:v>0</x:v>
      </x:c>
      <x:c r="I558" s="41" t="str">
        <x:v>Dimension: 1255x962x1581mm | Weight Stack: 100 kg
Net Weight 259 kg
10 years frame warranty</x:v>
      </x:c>
      <x:c r="J558" s="41" t="str">
        <x:v>Yes</x:v>
      </x:c>
      <x:c r="K558" s="41" t="str">
        <x:v>Yes</x:v>
      </x:c>
    </x:row>
    <x:row r="559">
      <x:c r="A559" s="41" t="str">
        <x:v>PXN24</x:v>
      </x:c>
      <x:c r="B559" s="41" t="str">
        <x:v>Adductor / Abductor</x:v>
      </x:c>
      <x:c r="C559" s="41" t="str">
        <x:v>Strength</x:v>
      </x:c>
      <x:c r="D559" s="41" t="str">
        <x:v>Premier</x:v>
      </x:c>
      <x:c r="E559" s="41" t="str">
        <x:v>17</x:v>
      </x:c>
      <x:c r="F559" s="42" t="n">
        <x:v>7650</x:v>
      </x:c>
      <x:c r="G559" s="41" t="str">
        <x:v>Nos</x:v>
      </x:c>
      <x:c r="H559" s="41" t="n">
        <x:v>0</x:v>
      </x:c>
      <x:c r="I559" s="41" t="str">
        <x:v>Dimension: 1820x1050x450mm | Weight Stack: 100 kg
Net Weight 260 kg
10 years frame warranty</x:v>
      </x:c>
      <x:c r="J559" s="41" t="str">
        <x:v>Yes</x:v>
      </x:c>
      <x:c r="K559" s="41" t="str">
        <x:v>Yes</x:v>
      </x:c>
    </x:row>
    <x:row r="560">
      <x:c r="A560" s="41" t="str">
        <x:v>PXN36</x:v>
      </x:c>
      <x:c r="B560" s="41" t="str">
        <x:v>Multi-Jungle (8 Station)</x:v>
      </x:c>
      <x:c r="C560" s="41" t="str">
        <x:v>Strength</x:v>
      </x:c>
      <x:c r="D560" s="41" t="str">
        <x:v>Premier</x:v>
      </x:c>
      <x:c r="E560" s="41" t="str">
        <x:v>17</x:v>
      </x:c>
      <x:c r="F560" s="42" t="n">
        <x:v>34140</x:v>
      </x:c>
      <x:c r="G560" s="41" t="str">
        <x:v>Nos</x:v>
      </x:c>
      <x:c r="H560" s="41" t="n">
        <x:v>0</x:v>
      </x:c>
      <x:c r="I560" s="41" t="str">
        <x:v>Dimension: 6350x 3860x2380mm | Weight Stack: 100kgx8 | High Pulley (Lat Pulldown) x 2
Low Pulley (Seated Row) x 2 | Triceps Station x 3 | Assisted Pull-up
Net Weight 1360 kg | 10 years frame warranty</x:v>
      </x:c>
      <x:c r="J560" s="41" t="str">
        <x:v>Yes</x:v>
      </x:c>
      <x:c r="K560" s="41" t="str">
        <x:v>Yes</x:v>
      </x:c>
    </x:row>
    <x:row r="561">
      <x:c r="A561" s="41" t="str">
        <x:v>PXN13</x:v>
      </x:c>
      <x:c r="B561" s="41" t="str">
        <x:v>High Pulley (Lat Pulldown)</x:v>
      </x:c>
      <x:c r="C561" s="41" t="str">
        <x:v>Strength</x:v>
      </x:c>
      <x:c r="D561" s="41" t="str">
        <x:v>Premier</x:v>
      </x:c>
      <x:c r="E561" s="41" t="str">
        <x:v>17</x:v>
      </x:c>
      <x:c r="F561" s="42" t="n">
        <x:v>7670</x:v>
      </x:c>
      <x:c r="G561" s="41" t="str">
        <x:v>Nos</x:v>
      </x:c>
      <x:c r="H561" s="41" t="n">
        <x:v>0</x:v>
      </x:c>
      <x:c r="I561" s="41" t="str">
        <x:v>Dimension: 1352x1331x2288mm | Weight Stack: 100 kg
Net Weight 274 kg
10 years frame warranty</x:v>
      </x:c>
      <x:c r="J561" s="41" t="str">
        <x:v>Yes</x:v>
      </x:c>
      <x:c r="K561" s="41" t="str">
        <x:v>Yes</x:v>
      </x:c>
    </x:row>
    <x:row r="562">
      <x:c r="A562" s="41" t="str">
        <x:v>PXN30</x:v>
      </x:c>
      <x:c r="B562" s="41" t="str">
        <x:v>Functional Trainer &amp; Smith</x:v>
      </x:c>
      <x:c r="C562" s="41" t="str">
        <x:v>Strength</x:v>
      </x:c>
      <x:c r="D562" s="41" t="str">
        <x:v>Premier</x:v>
      </x:c>
      <x:c r="E562" s="41" t="str">
        <x:v>17</x:v>
      </x:c>
      <x:c r="F562" s="42" t="n">
        <x:v>12220</x:v>
      </x:c>
      <x:c r="G562" s="41" t="str">
        <x:v>Nos</x:v>
      </x:c>
      <x:c r="H562" s="41" t="n">
        <x:v>0</x:v>
      </x:c>
      <x:c r="I562" s="41" t="str">
        <x:v>Dimension 2670×1800×2370mm
Net Weight: 637kg
10 years frame warranty</x:v>
      </x:c>
      <x:c r="J562" s="41" t="str">
        <x:v>Yes</x:v>
      </x:c>
      <x:c r="K562" s="41" t="str">
        <x:v>Yes</x:v>
      </x:c>
    </x:row>
    <x:row r="563">
      <x:c r="A563" s="41" t="str">
        <x:v>PXN10</x:v>
      </x:c>
      <x:c r="B563" s="41" t="str">
        <x:v>Rotary Torso</x:v>
      </x:c>
      <x:c r="C563" s="41" t="str">
        <x:v>Strength</x:v>
      </x:c>
      <x:c r="D563" s="41" t="str">
        <x:v>Premier</x:v>
      </x:c>
      <x:c r="E563" s="41" t="str">
        <x:v>17</x:v>
      </x:c>
      <x:c r="F563" s="42" t="n">
        <x:v>7810</x:v>
      </x:c>
      <x:c r="G563" s="41" t="str">
        <x:v>Nos</x:v>
      </x:c>
      <x:c r="H563" s="41" t="n">
        <x:v>0</x:v>
      </x:c>
      <x:c r="I563" s="41" t="str">
        <x:v>Dimension: 1241x1122x1581mm | Weight Stack: 100 kg
Net Weight 248 kg
10 years frame warranty</x:v>
      </x:c>
      <x:c r="J563" s="41" t="str">
        <x:v>Yes</x:v>
      </x:c>
      <x:c r="K563" s="41" t="str">
        <x:v>Yes</x:v>
      </x:c>
    </x:row>
    <x:row r="564">
      <x:c r="A564" s="41" t="str">
        <x:v>PXN31</x:v>
      </x:c>
      <x:c r="B564" s="41" t="str">
        <x:v>Multi-Jungle (4 Station)</x:v>
      </x:c>
      <x:c r="C564" s="41" t="str">
        <x:v>Strength</x:v>
      </x:c>
      <x:c r="D564" s="41" t="str">
        <x:v>Premier</x:v>
      </x:c>
      <x:c r="E564" s="41" t="str">
        <x:v>17</x:v>
      </x:c>
      <x:c r="F564" s="42" t="n">
        <x:v>23760</x:v>
      </x:c>
      <x:c r="G564" s="41" t="str">
        <x:v>Nos</x:v>
      </x:c>
      <x:c r="H564" s="41" t="n">
        <x:v>0</x:v>
      </x:c>
      <x:c r="I564" s="41" t="str">
        <x:v>Dimension: 4830×3795×2390mm | Weight Stack:96kg×4
Net Weight: 750 kg
10 years frame warranty</x:v>
      </x:c>
      <x:c r="J564" s="41" t="str">
        <x:v>Yes</x:v>
      </x:c>
      <x:c r="K564" s="41" t="str">
        <x:v>Yes</x:v>
      </x:c>
    </x:row>
    <x:row r="565">
      <x:c r="A565" s="41" t="str">
        <x:v>PXN09</x:v>
      </x:c>
      <x:c r="B565" s="41" t="str">
        <x:v>Abdominal Crunch</x:v>
      </x:c>
      <x:c r="C565" s="41" t="str">
        <x:v>Strength</x:v>
      </x:c>
      <x:c r="D565" s="41" t="str">
        <x:v>Premier</x:v>
      </x:c>
      <x:c r="E565" s="41" t="str">
        <x:v>17</x:v>
      </x:c>
      <x:c r="F565" s="42" t="n">
        <x:v>7060</x:v>
      </x:c>
      <x:c r="G565" s="41" t="str">
        <x:v>Nos</x:v>
      </x:c>
      <x:c r="H565" s="41" t="n">
        <x:v>0</x:v>
      </x:c>
      <x:c r="I565" s="41" t="str">
        <x:v>Dimension: 1407x973x1581mm | Weight Stack: 100 kg
Net Weight 235 kg
10 years frame warranty</x:v>
      </x:c>
      <x:c r="J565" s="41" t="str">
        <x:v>Yes</x:v>
      </x:c>
      <x:c r="K565" s="41" t="str">
        <x:v>Yes</x:v>
      </x:c>
    </x:row>
    <x:row r="566">
      <x:c r="A566" s="41" t="str">
        <x:v>PXN17</x:v>
      </x:c>
      <x:c r="B566" s="41" t="str">
        <x:v>Standing Leg Extension</x:v>
      </x:c>
      <x:c r="C566" s="41" t="str">
        <x:v>Strength</x:v>
      </x:c>
      <x:c r="D566" s="41" t="str">
        <x:v>Premier</x:v>
      </x:c>
      <x:c r="E566" s="41" t="str">
        <x:v>17</x:v>
      </x:c>
      <x:c r="F566" s="42" t="n">
        <x:v>7580</x:v>
      </x:c>
      <x:c r="G566" s="41" t="str">
        <x:v>Nos</x:v>
      </x:c>
      <x:c r="H566" s="41" t="n">
        <x:v>0</x:v>
      </x:c>
      <x:c r="I566" s="41" t="str">
        <x:v>Dimension: 1164x940x1581mm | Weight Stack: 100 kg
Net Weight 263 kg
10 years frame warranty</x:v>
      </x:c>
      <x:c r="J566" s="41" t="str">
        <x:v>Yes</x:v>
      </x:c>
      <x:c r="K566" s="41" t="str">
        <x:v>Yes</x:v>
      </x:c>
    </x:row>
    <x:row r="567">
      <x:c r="A567" s="41" t="str">
        <x:v>PXN11</x:v>
      </x:c>
      <x:c r="B567" s="41" t="str">
        <x:v>Lat Pull Down</x:v>
      </x:c>
      <x:c r="C567" s="41" t="str">
        <x:v>Strength</x:v>
      </x:c>
      <x:c r="D567" s="41" t="str">
        <x:v>Premier</x:v>
      </x:c>
      <x:c r="E567" s="41" t="str">
        <x:v>17</x:v>
      </x:c>
      <x:c r="F567" s="42" t="n">
        <x:v>8370</x:v>
      </x:c>
      <x:c r="G567" s="41" t="str">
        <x:v>Nos</x:v>
      </x:c>
      <x:c r="H567" s="41" t="n">
        <x:v>0</x:v>
      </x:c>
      <x:c r="I567" s="41" t="str">
        <x:v>Dimension: 1834x1146x2038mm | Weight Stack: 100 kg
Net Weight 269 kg
10 years frame warranty</x:v>
      </x:c>
      <x:c r="J567" s="41" t="str">
        <x:v>Yes</x:v>
      </x:c>
      <x:c r="K567" s="41" t="str">
        <x:v>Yes</x:v>
      </x:c>
    </x:row>
    <x:row r="568">
      <x:c r="A568" s="41" t="str">
        <x:v>PXN25</x:v>
      </x:c>
      <x:c r="B568" s="41" t="str">
        <x:v>Standing Multi Fly</x:v>
      </x:c>
      <x:c r="C568" s="41" t="str">
        <x:v>Strength</x:v>
      </x:c>
      <x:c r="D568" s="41" t="str">
        <x:v>Premier</x:v>
      </x:c>
      <x:c r="E568" s="41" t="str">
        <x:v>17</x:v>
      </x:c>
      <x:c r="F568" s="42" t="n">
        <x:v>7010</x:v>
      </x:c>
      <x:c r="G568" s="41" t="str">
        <x:v>Nos</x:v>
      </x:c>
      <x:c r="H568" s="41" t="n">
        <x:v>0</x:v>
      </x:c>
      <x:c r="I568" s="41" t="str">
        <x:v>Dimension 1500×930×2000mm
Net Weight: 352kg
10 years frame warranty</x:v>
      </x:c>
      <x:c r="J568" s="41" t="str">
        <x:v>Yes</x:v>
      </x:c>
      <x:c r="K568" s="41" t="str">
        <x:v>Yes</x:v>
      </x:c>
    </x:row>
    <x:row r="569">
      <x:c r="A569" s="41" t="str">
        <x:v>PXN26-A</x:v>
      </x:c>
      <x:c r="B569" s="41" t="str">
        <x:v>Half Rack with Deadlift Platform</x:v>
      </x:c>
      <x:c r="C569" s="41" t="str">
        <x:v>Strength</x:v>
      </x:c>
      <x:c r="D569" s="41" t="str">
        <x:v>Premier</x:v>
      </x:c>
      <x:c r="E569" s="41" t="str">
        <x:v>17</x:v>
      </x:c>
      <x:c r="F569" s="42" t="n">
        <x:v>9500</x:v>
      </x:c>
      <x:c r="G569" s="41" t="str">
        <x:v>Nos</x:v>
      </x:c>
      <x:c r="H569" s="41" t="n">
        <x:v>0</x:v>
      </x:c>
      <x:c r="I569" s="41" t="str">
        <x:v>Dimension:2700x2400x2300mm
Net Weight 290kg
1 year warranty (Imported)</x:v>
      </x:c>
      <x:c r="J569" s="41" t="str">
        <x:v>Yes</x:v>
      </x:c>
      <x:c r="K569" s="41" t="str">
        <x:v>Yes</x:v>
      </x:c>
    </x:row>
    <x:row r="570">
      <x:c r="A570" s="41" t="str">
        <x:v>PXN15</x:v>
      </x:c>
      <x:c r="B570" s="41" t="str">
        <x:v>Leg Extension</x:v>
      </x:c>
      <x:c r="C570" s="41" t="str">
        <x:v>Strength</x:v>
      </x:c>
      <x:c r="D570" s="41" t="str">
        <x:v>Premier</x:v>
      </x:c>
      <x:c r="E570" s="41" t="str">
        <x:v>17</x:v>
      </x:c>
      <x:c r="F570" s="42" t="n">
        <x:v>8420</x:v>
      </x:c>
      <x:c r="G570" s="41" t="str">
        <x:v>Nos</x:v>
      </x:c>
      <x:c r="H570" s="41" t="n">
        <x:v>0</x:v>
      </x:c>
      <x:c r="I570" s="41" t="str">
        <x:v>Dimension: 1369x1053x1581mm | Weight Stack: 100 kg
Net Weight 259 kg
10 years frame warranty</x:v>
      </x:c>
      <x:c r="J570" s="41" t="str">
        <x:v>Yes</x:v>
      </x:c>
      <x:c r="K570" s="41" t="str">
        <x:v>Yes</x:v>
      </x:c>
    </x:row>
    <x:row r="571">
      <x:c r="A571" s="41" t="str">
        <x:v>PXN19</x:v>
      </x:c>
      <x:c r="B571" s="41" t="str">
        <x:v>Seated and Horizontal Shoulder Press</x:v>
      </x:c>
      <x:c r="C571" s="41" t="str">
        <x:v>Strength</x:v>
      </x:c>
      <x:c r="D571" s="41" t="str">
        <x:v>Premier</x:v>
      </x:c>
      <x:c r="E571" s="41" t="str">
        <x:v>17</x:v>
      </x:c>
      <x:c r="F571" s="42" t="n">
        <x:v>7320</x:v>
      </x:c>
      <x:c r="G571" s="41" t="str">
        <x:v>Nos</x:v>
      </x:c>
      <x:c r="H571" s="41" t="n">
        <x:v>0</x:v>
      </x:c>
      <x:c r="I571" s="41" t="str">
        <x:v>Dimension: 1950x1200x400mm | Weight Stack: 100 kg
Net Weight 260 kg
10 years frame warranty</x:v>
      </x:c>
      <x:c r="J571" s="41" t="str">
        <x:v>Yes</x:v>
      </x:c>
      <x:c r="K571" s="41" t="str">
        <x:v>Yes</x:v>
      </x:c>
    </x:row>
    <x:row r="572">
      <x:c r="A572" s="41" t="str">
        <x:v>PXN12</x:v>
      </x:c>
      <x:c r="B572" s="41" t="str">
        <x:v>Seated Horizontal Pulley</x:v>
      </x:c>
      <x:c r="C572" s="41" t="str">
        <x:v>Strength</x:v>
      </x:c>
      <x:c r="D572" s="41" t="str">
        <x:v>Premier</x:v>
      </x:c>
      <x:c r="E572" s="41" t="str">
        <x:v>17</x:v>
      </x:c>
      <x:c r="F572" s="42" t="n">
        <x:v>7480</x:v>
      </x:c>
      <x:c r="G572" s="41" t="str">
        <x:v>Nos</x:v>
      </x:c>
      <x:c r="H572" s="41" t="n">
        <x:v>0</x:v>
      </x:c>
      <x:c r="I572" s="41" t="str">
        <x:v>Dimension: 1789x1004x1581mm | Weight Stack: 100 kg
Net Weight 219 kg
10 years frame warranty</x:v>
      </x:c>
      <x:c r="J572" s="41" t="str">
        <x:v>Yes</x:v>
      </x:c>
      <x:c r="K572" s="41" t="str">
        <x:v>Yes</x:v>
      </x:c>
    </x:row>
    <x:row r="573">
      <x:c r="A573" s="41" t="str">
        <x:v>PXN32C</x:v>
      </x:c>
      <x:c r="B573" s="41" t="str">
        <x:v>Multi-Jungle (4 Station)</x:v>
      </x:c>
      <x:c r="C573" s="41" t="str">
        <x:v>Strength</x:v>
      </x:c>
      <x:c r="D573" s="41" t="str">
        <x:v>Premier</x:v>
      </x:c>
      <x:c r="E573" s="41" t="str">
        <x:v>17</x:v>
      </x:c>
      <x:c r="F573" s="42" t="n">
        <x:v>17440</x:v>
      </x:c>
      <x:c r="G573" s="41" t="str">
        <x:v>Nos</x:v>
      </x:c>
      <x:c r="H573" s="41" t="n">
        <x:v>0</x:v>
      </x:c>
      <x:c r="I573" s="41" t="str">
        <x:v>Dimension: 3860x1750x2440mm | Weight Stack: 100 kg x 4 | High Pulley (Lat Pulldown)
Low Pulley (Seated Row) | Triceps Station | Assisted Pull-up
Net Weight 860 kg | 10 years frame warranty</x:v>
      </x:c>
      <x:c r="J573" s="41" t="str">
        <x:v>Yes</x:v>
      </x:c>
      <x:c r="K573" s="41" t="str">
        <x:v>Yes</x:v>
      </x:c>
    </x:row>
    <x:row r="574">
      <x:c r="A574" s="41" t="str">
        <x:v>PXN35</x:v>
      </x:c>
      <x:c r="B574" s="41" t="str">
        <x:v>Multi-Jungle (8 Station)</x:v>
      </x:c>
      <x:c r="C574" s="41" t="str">
        <x:v>Strength</x:v>
      </x:c>
      <x:c r="D574" s="41" t="str">
        <x:v>Premier</x:v>
      </x:c>
      <x:c r="E574" s="41" t="str">
        <x:v>17</x:v>
      </x:c>
      <x:c r="F574" s="42" t="n">
        <x:v>40730</x:v>
      </x:c>
      <x:c r="G574" s="41" t="str">
        <x:v>Nos</x:v>
      </x:c>
      <x:c r="H574" s="41" t="n">
        <x:v>0</x:v>
      </x:c>
      <x:c r="I574" s="41" t="str">
        <x:v>Dimension: 5880×3800×2530mm | Weight Stack:96kg×8 | High Pulley (Lat Pulldown) x 2
Low Pulley (Seated Row) x 2 | Triceps Station x 3 | Assisted Pull-up
Net Weight: 1600 kg | 10 years frame warranty</x:v>
      </x:c>
      <x:c r="J574" s="41" t="str">
        <x:v>Yes</x:v>
      </x:c>
      <x:c r="K574" s="41" t="str">
        <x:v>Yes</x:v>
      </x:c>
    </x:row>
    <x:row r="575">
      <x:c r="A575" s="41" t="str">
        <x:v>PXN33</x:v>
      </x:c>
      <x:c r="B575" s="41" t="str">
        <x:v>Multi-Jungle (5 Station)</x:v>
      </x:c>
      <x:c r="C575" s="41" t="str">
        <x:v>Strength</x:v>
      </x:c>
      <x:c r="D575" s="41" t="str">
        <x:v>Premier</x:v>
      </x:c>
      <x:c r="E575" s="41" t="str">
        <x:v>17</x:v>
      </x:c>
      <x:c r="F575" s="42" t="n">
        <x:v>28280</x:v>
      </x:c>
      <x:c r="G575" s="41" t="str">
        <x:v>Nos</x:v>
      </x:c>
      <x:c r="H575" s="41" t="n">
        <x:v>0</x:v>
      </x:c>
      <x:c r="I575" s="41" t="str">
        <x:v>Dimension: 4830×3795×2390mm | Weight Stack:96kg×5
High Pulley (Lat Pulldown) | Low Pulley (Seated Row)
Triceps Station x 3 Net Weight: 915 kg | 10 years frame warranty</x:v>
      </x:c>
      <x:c r="J575" s="41" t="str">
        <x:v>Yes</x:v>
      </x:c>
      <x:c r="K575" s="41" t="str">
        <x:v>Yes</x:v>
      </x:c>
    </x:row>
    <x:row r="576">
      <x:c r="A576" s="41" t="str">
        <x:v>PXN14</x:v>
      </x:c>
      <x:c r="B576" s="41" t="str">
        <x:v>Horizontal Leg Curl (Prone Leg Curl)</x:v>
      </x:c>
      <x:c r="C576" s="41" t="str">
        <x:v>Strength</x:v>
      </x:c>
      <x:c r="D576" s="41" t="str">
        <x:v>Premier</x:v>
      </x:c>
      <x:c r="E576" s="41" t="str">
        <x:v>17</x:v>
      </x:c>
      <x:c r="F576" s="42" t="n">
        <x:v>7840</x:v>
      </x:c>
      <x:c r="G576" s="41" t="str">
        <x:v>Nos</x:v>
      </x:c>
      <x:c r="H576" s="41" t="n">
        <x:v>0</x:v>
      </x:c>
      <x:c r="I576" s="41" t="str">
        <x:v>Dimension: 1704x1020x1581mm | Weight Stack: 100 kg
Net Weight 260 kg
10 years frame warranty</x:v>
      </x:c>
      <x:c r="J576" s="41" t="str">
        <x:v>Yes</x:v>
      </x:c>
      <x:c r="K576" s="41" t="str">
        <x:v>Yes</x:v>
      </x:c>
    </x:row>
    <x:row r="577">
      <x:c r="A577" s="41" t="str">
        <x:v>PXN16</x:v>
      </x:c>
      <x:c r="B577" s="41" t="str">
        <x:v>Seated Leg Press</x:v>
      </x:c>
      <x:c r="C577" s="41" t="str">
        <x:v>Strength</x:v>
      </x:c>
      <x:c r="D577" s="41" t="str">
        <x:v>Premier</x:v>
      </x:c>
      <x:c r="E577" s="41" t="str">
        <x:v>17</x:v>
      </x:c>
      <x:c r="F577" s="42" t="n">
        <x:v>9050</x:v>
      </x:c>
      <x:c r="G577" s="41" t="str">
        <x:v>Nos</x:v>
      </x:c>
      <x:c r="H577" s="41" t="n">
        <x:v>0</x:v>
      </x:c>
      <x:c r="I577" s="41" t="str">
        <x:v>Dimension: 1953x1069x1581mm | Weight Stack: 100 kg
Net Weight 315 kg
10 years frame warranty</x:v>
      </x:c>
      <x:c r="J577" s="41" t="str">
        <x:v>Yes</x:v>
      </x:c>
      <x:c r="K577" s="41" t="str">
        <x:v>Yes</x:v>
      </x:c>
    </x:row>
    <x:row r="578">
      <x:c r="A578" s="41" t="str">
        <x:v>PXN29</x:v>
      </x:c>
      <x:c r="B578" s="41" t="str">
        <x:v>Functional Trainer &amp; Squat Rack</x:v>
      </x:c>
      <x:c r="C578" s="41" t="str">
        <x:v>Strength</x:v>
      </x:c>
      <x:c r="D578" s="41" t="str">
        <x:v>Premier</x:v>
      </x:c>
      <x:c r="E578" s="41" t="str">
        <x:v>17</x:v>
      </x:c>
      <x:c r="F578" s="42" t="n">
        <x:v>11880</x:v>
      </x:c>
      <x:c r="G578" s="41" t="str">
        <x:v>Nos</x:v>
      </x:c>
      <x:c r="H578" s="41" t="n">
        <x:v>0</x:v>
      </x:c>
      <x:c r="I578" s="41" t="str">
        <x:v>Dimension 1940×1680×2300mm
Net Weight: 460kg
10 years frame warranty</x:v>
      </x:c>
      <x:c r="J578" s="41" t="str">
        <x:v>Yes</x:v>
      </x:c>
      <x:c r="K578" s="41" t="str">
        <x:v>Yes</x:v>
      </x:c>
    </x:row>
    <x:row r="579">
      <x:c r="A579" s="41" t="str">
        <x:v>PXN27</x:v>
      </x:c>
      <x:c r="B579" s="41" t="str">
        <x:v>Functional Trainer</x:v>
      </x:c>
      <x:c r="C579" s="41" t="str">
        <x:v>Strength</x:v>
      </x:c>
      <x:c r="D579" s="41" t="str">
        <x:v>Premier</x:v>
      </x:c>
      <x:c r="E579" s="41" t="str">
        <x:v>17</x:v>
      </x:c>
      <x:c r="F579" s="42" t="n">
        <x:v>8940</x:v>
      </x:c>
      <x:c r="G579" s="41" t="str">
        <x:v>Nos</x:v>
      </x:c>
      <x:c r="H579" s="41" t="n">
        <x:v>0</x:v>
      </x:c>
      <x:c r="I579" s="41" t="str">
        <x:v>Dimension: 1600×1200×2365mm | Weight Stack:96kg×2
Net Weight: 395kg
10 years frame warranty</x:v>
      </x:c>
      <x:c r="J579" s="41" t="str">
        <x:v>Yes</x:v>
      </x:c>
      <x:c r="K579" s="41" t="str">
        <x:v>Yes</x:v>
      </x:c>
    </x:row>
    <x:row r="580">
      <x:c r="A580" s="41" t="str">
        <x:v>PXN21</x:v>
      </x:c>
      <x:c r="B580" s="41" t="str">
        <x:v>Low Back with Abdominal Machine</x:v>
      </x:c>
      <x:c r="C580" s="41" t="str">
        <x:v>Strength</x:v>
      </x:c>
      <x:c r="D580" s="41" t="str">
        <x:v>Premier</x:v>
      </x:c>
      <x:c r="E580" s="41" t="str">
        <x:v>17</x:v>
      </x:c>
      <x:c r="F580" s="42" t="n">
        <x:v>7580</x:v>
      </x:c>
      <x:c r="G580" s="41" t="str">
        <x:v>Nos</x:v>
      </x:c>
      <x:c r="H580" s="41" t="n">
        <x:v>0</x:v>
      </x:c>
      <x:c r="I580" s="41" t="str">
        <x:v>Dimension: 1360x950x500mm | Weight Stack: 100 kg
Net Weight 260 kg
10 years frame warranty</x:v>
      </x:c>
      <x:c r="J580" s="41" t="str">
        <x:v>Yes</x:v>
      </x:c>
      <x:c r="K580" s="41" t="str">
        <x:v>Yes</x:v>
      </x:c>
    </x:row>
    <x:row r="581">
      <x:c r="A581" s="41" t="str">
        <x:v>PXN18</x:v>
      </x:c>
      <x:c r="B581" s="41" t="str">
        <x:v>Calf Extension</x:v>
      </x:c>
      <x:c r="C581" s="41" t="str">
        <x:v>Strength</x:v>
      </x:c>
      <x:c r="D581" s="41" t="str">
        <x:v>Premier</x:v>
      </x:c>
      <x:c r="E581" s="41" t="str">
        <x:v>17</x:v>
      </x:c>
      <x:c r="F581" s="42" t="n">
        <x:v>7920</x:v>
      </x:c>
      <x:c r="G581" s="41" t="str">
        <x:v>Nos</x:v>
      </x:c>
      <x:c r="H581" s="41" t="n">
        <x:v>0</x:v>
      </x:c>
      <x:c r="I581" s="41" t="str">
        <x:v>Dimension: 1592x1082x1581mm | Weight Stack: 100 kg
Net Weight 264 kg
10 years frame warranty</x:v>
      </x:c>
      <x:c r="J581" s="41" t="str">
        <x:v>Yes</x:v>
      </x:c>
      <x:c r="K581" s="41" t="str">
        <x:v>Yes</x:v>
      </x:c>
    </x:row>
    <x:row r="582">
      <x:c r="A582" s="41" t="str">
        <x:v>PXN26</x:v>
      </x:c>
      <x:c r="B582" s="41" t="str">
        <x:v>Squat Trainer</x:v>
      </x:c>
      <x:c r="C582" s="41" t="str">
        <x:v>Strength</x:v>
      </x:c>
      <x:c r="D582" s="41" t="str">
        <x:v>Premier</x:v>
      </x:c>
      <x:c r="E582" s="41" t="str">
        <x:v>17</x:v>
      </x:c>
      <x:c r="F582" s="42" t="n">
        <x:v>7920</x:v>
      </x:c>
      <x:c r="G582" s="41" t="str">
        <x:v>Nos</x:v>
      </x:c>
      <x:c r="H582" s="41" t="n">
        <x:v>0</x:v>
      </x:c>
      <x:c r="I582" s="41" t="str">
        <x:v>Dimension 1820×1930×2170mm
Net Weight: 330kg
10 years frame warranty</x:v>
      </x:c>
      <x:c r="J582" s="41" t="str">
        <x:v>Yes</x:v>
      </x:c>
      <x:c r="K582" s="41" t="str">
        <x:v>Yes</x:v>
      </x:c>
    </x:row>
    <x:row r="583">
      <x:c r="A583" s="41" t="str">
        <x:v>APL51</x:v>
      </x:c>
      <x:c r="B583" s="41" t="str">
        <x:v>Scott Bench (Preachure)</x:v>
      </x:c>
      <x:c r="C583" s="41" t="str">
        <x:v>Strength</x:v>
      </x:c>
      <x:c r="D583" s="41" t="str">
        <x:v>Premier</x:v>
      </x:c>
      <x:c r="E583" s="41" t="str">
        <x:v>17</x:v>
      </x:c>
      <x:c r="F583" s="42" t="n">
        <x:v>1540</x:v>
      </x:c>
      <x:c r="G583" s="41" t="str">
        <x:v>Nos</x:v>
      </x:c>
      <x:c r="H583" s="41" t="n">
        <x:v>0</x:v>
      </x:c>
      <x:c r="I583" s="41" t="str">
        <x:v>Dimension 900x700x900mm | Pipe Thickness 3mm
Net Weight 44 kg
10 years frame warranty</x:v>
      </x:c>
      <x:c r="J583" s="41" t="str">
        <x:v>Yes</x:v>
      </x:c>
      <x:c r="K583" s="41" t="str">
        <x:v>Yes</x:v>
      </x:c>
    </x:row>
    <x:row r="584">
      <x:c r="A584" s="41" t="str">
        <x:v>APL30</x:v>
      </x:c>
      <x:c r="B584" s="41" t="str">
        <x:v>Hip Glute Press</x:v>
      </x:c>
      <x:c r="C584" s="41" t="str">
        <x:v>Strength</x:v>
      </x:c>
      <x:c r="D584" s="41" t="str">
        <x:v>Premier</x:v>
      </x:c>
      <x:c r="E584" s="41" t="str">
        <x:v>17</x:v>
      </x:c>
      <x:c r="F584" s="42" t="n">
        <x:v>6990</x:v>
      </x:c>
      <x:c r="G584" s="41" t="str">
        <x:v>Nos</x:v>
      </x:c>
      <x:c r="H584" s="41" t="n">
        <x:v>0</x:v>
      </x:c>
      <x:c r="I584" s="41" t="str">
        <x:v>Dimension 2050x1450x1500mm | Pipe Thickness 3mm
Net Weight 275 kg
10 years frame warranty</x:v>
      </x:c>
      <x:c r="J584" s="41" t="str">
        <x:v>Yes</x:v>
      </x:c>
      <x:c r="K584" s="41" t="str">
        <x:v>Yes</x:v>
      </x:c>
    </x:row>
    <x:row r="585">
      <x:c r="A585" s="41" t="str">
        <x:v>APL34</x:v>
      </x:c>
      <x:c r="B585" s="41" t="str">
        <x:v>Incline T-Bar Row With Adj Handle</x:v>
      </x:c>
      <x:c r="C585" s="41" t="str">
        <x:v>Strength</x:v>
      </x:c>
      <x:c r="D585" s="41" t="str">
        <x:v>Premier</x:v>
      </x:c>
      <x:c r="E585" s="41" t="str">
        <x:v>17</x:v>
      </x:c>
      <x:c r="F585" s="42" t="n">
        <x:v>3500</x:v>
      </x:c>
      <x:c r="G585" s="41" t="str">
        <x:v>Nos</x:v>
      </x:c>
      <x:c r="H585" s="41" t="n">
        <x:v>0</x:v>
      </x:c>
      <x:c r="I585" s="41" t="str">
        <x:v>Dimension 2000x600x480mm | Pipe Thickness 3mm
Net Weight 99 kg
10 years frame warranty</x:v>
      </x:c>
      <x:c r="J585" s="41" t="str">
        <x:v>Yes</x:v>
      </x:c>
      <x:c r="K585" s="41" t="str">
        <x:v>Yes</x:v>
      </x:c>
    </x:row>
    <x:row r="586">
      <x:c r="A586" s="41" t="str">
        <x:v>APL49</x:v>
      </x:c>
      <x:c r="B586" s="41" t="str">
        <x:v>Olympic Incline Press Bench</x:v>
      </x:c>
      <x:c r="C586" s="41" t="str">
        <x:v>Strength</x:v>
      </x:c>
      <x:c r="D586" s="41" t="str">
        <x:v>Premier</x:v>
      </x:c>
      <x:c r="E586" s="41" t="str">
        <x:v>17</x:v>
      </x:c>
      <x:c r="F586" s="42" t="n">
        <x:v>2980</x:v>
      </x:c>
      <x:c r="G586" s="41" t="str">
        <x:v>Nos</x:v>
      </x:c>
      <x:c r="H586" s="41" t="n">
        <x:v>0</x:v>
      </x:c>
      <x:c r="I586" s="41" t="str">
        <x:v>Dimension 1450x1350x1500mm | Pipe Thickness 3mm
Net Weight 108 kg
10 years frame warranty</x:v>
      </x:c>
      <x:c r="J586" s="41" t="str">
        <x:v>Yes</x:v>
      </x:c>
      <x:c r="K586" s="41" t="str">
        <x:v>Yes</x:v>
      </x:c>
    </x:row>
    <x:row r="587">
      <x:c r="A587" s="41" t="str">
        <x:v>APL43</x:v>
      </x:c>
      <x:c r="B587" s="41" t="str">
        <x:v>Hack Squat</x:v>
      </x:c>
      <x:c r="C587" s="41" t="str">
        <x:v>Strength</x:v>
      </x:c>
      <x:c r="D587" s="41" t="str">
        <x:v>Premier</x:v>
      </x:c>
      <x:c r="E587" s="41" t="str">
        <x:v>17</x:v>
      </x:c>
      <x:c r="F587" s="42" t="n">
        <x:v>6410</x:v>
      </x:c>
      <x:c r="G587" s="41" t="str">
        <x:v>Nos</x:v>
      </x:c>
      <x:c r="H587" s="41" t="n">
        <x:v>0</x:v>
      </x:c>
      <x:c r="I587" s="41" t="str">
        <x:v>Dimension 2120x910x1530mm | Pipe Thickness 3mm
Net Weight 230 kg
10 years frame warranty</x:v>
      </x:c>
      <x:c r="J587" s="41" t="str">
        <x:v>Yes</x:v>
      </x:c>
      <x:c r="K587" s="41" t="str">
        <x:v>Yes</x:v>
      </x:c>
    </x:row>
    <x:row r="588">
      <x:c r="A588" s="41" t="str">
        <x:v>APL28</x:v>
      </x:c>
      <x:c r="B588" s="41" t="str">
        <x:v>Standing Front/Back Row</x:v>
      </x:c>
      <x:c r="C588" s="41" t="str">
        <x:v>Strength</x:v>
      </x:c>
      <x:c r="D588" s="41" t="str">
        <x:v>Premier</x:v>
      </x:c>
      <x:c r="E588" s="41" t="str">
        <x:v>17</x:v>
      </x:c>
      <x:c r="F588" s="42" t="n">
        <x:v>5420</x:v>
      </x:c>
      <x:c r="G588" s="41" t="str">
        <x:v>Nos</x:v>
      </x:c>
      <x:c r="H588" s="41" t="n">
        <x:v>0</x:v>
      </x:c>
      <x:c r="I588" s="41" t="str">
        <x:v>Dimension 1180x1180x1180mm | Pipe Thickness 3mm
Net Weight 215 kg
10 years frame warranty</x:v>
      </x:c>
      <x:c r="J588" s="41" t="str">
        <x:v>Yes</x:v>
      </x:c>
      <x:c r="K588" s="41" t="str">
        <x:v>Yes</x:v>
      </x:c>
    </x:row>
    <x:row r="589">
      <x:c r="A589" s="41" t="str">
        <x:v>PXN04</x:v>
      </x:c>
      <x:c r="B589" s="41" t="str">
        <x:v>Seated Row</x:v>
      </x:c>
      <x:c r="C589" s="41" t="str">
        <x:v>Strength</x:v>
      </x:c>
      <x:c r="D589" s="41" t="str">
        <x:v>Premier</x:v>
      </x:c>
      <x:c r="E589" s="41" t="str">
        <x:v>17</x:v>
      </x:c>
      <x:c r="F589" s="42" t="n">
        <x:v>7160</x:v>
      </x:c>
      <x:c r="G589" s="41" t="str">
        <x:v>Nos</x:v>
      </x:c>
      <x:c r="H589" s="41" t="n">
        <x:v>0</x:v>
      </x:c>
      <x:c r="I589" s="41" t="str">
        <x:v>Dimension: 1374x957x1581mm | Weight Stack: 100 kg
Net Weight 252 kg
10 years frame warranty</x:v>
      </x:c>
      <x:c r="J589" s="41" t="str">
        <x:v>Yes</x:v>
      </x:c>
      <x:c r="K589" s="41" t="str">
        <x:v>Yes</x:v>
      </x:c>
    </x:row>
    <x:row r="590">
      <x:c r="A590" s="41" t="str">
        <x:v>PXN03</x:v>
      </x:c>
      <x:c r="B590" s="41" t="str">
        <x:v>Shoulder Press</x:v>
      </x:c>
      <x:c r="C590" s="41" t="str">
        <x:v>Strength</x:v>
      </x:c>
      <x:c r="D590" s="41" t="str">
        <x:v>Premier</x:v>
      </x:c>
      <x:c r="E590" s="41" t="str">
        <x:v>17</x:v>
      </x:c>
      <x:c r="F590" s="42" t="n">
        <x:v>8010</x:v>
      </x:c>
      <x:c r="G590" s="41" t="str">
        <x:v>Nos</x:v>
      </x:c>
      <x:c r="H590" s="41" t="n">
        <x:v>0</x:v>
      </x:c>
      <x:c r="I590" s="41" t="str">
        <x:v>Dimension: 1441x1620x1581mm | Weight Stack: 100 kg
Net Weight 256 kg
10 years frame warranty</x:v>
      </x:c>
      <x:c r="J590" s="41" t="str">
        <x:v>Yes</x:v>
      </x:c>
      <x:c r="K590" s="41" t="str">
        <x:v>Yes</x:v>
      </x:c>
    </x:row>
    <x:row r="591">
      <x:c r="A591" s="41" t="str">
        <x:v>APL38</x:v>
      </x:c>
      <x:c r="B591" s="41" t="str">
        <x:v>Shoulder Press</x:v>
      </x:c>
      <x:c r="C591" s="41" t="str">
        <x:v>Strength</x:v>
      </x:c>
      <x:c r="D591" s="41" t="str">
        <x:v>Premier</x:v>
      </x:c>
      <x:c r="E591" s="41" t="str">
        <x:v>17</x:v>
      </x:c>
      <x:c r="F591" s="42" t="n">
        <x:v>4210</x:v>
      </x:c>
      <x:c r="G591" s="41" t="str">
        <x:v>Nos</x:v>
      </x:c>
      <x:c r="H591" s="41" t="n">
        <x:v>0</x:v>
      </x:c>
      <x:c r="I591" s="41" t="str">
        <x:v>17</x:v>
      </x:c>
      <x:c r="J591" s="41" t="str">
        <x:v>Yes</x:v>
      </x:c>
      <x:c r="K591" s="41" t="str">
        <x:v>Yes</x:v>
      </x:c>
    </x:row>
    <x:row r="592">
      <x:c r="A592" s="41" t="str">
        <x:v>APL36</x:v>
      </x:c>
      <x:c r="B592" s="41" t="str">
        <x:v>Glute-Kick-Back</x:v>
      </x:c>
      <x:c r="C592" s="41" t="str">
        <x:v>Strength</x:v>
      </x:c>
      <x:c r="D592" s="41" t="str">
        <x:v>Premier</x:v>
      </x:c>
      <x:c r="E592" s="41" t="str">
        <x:v>17</x:v>
      </x:c>
      <x:c r="F592" s="42" t="n">
        <x:v>3960</x:v>
      </x:c>
      <x:c r="G592" s="41" t="str">
        <x:v>Nos</x:v>
      </x:c>
      <x:c r="H592" s="41" t="n">
        <x:v>0</x:v>
      </x:c>
      <x:c r="I592" s="41" t="str">
        <x:v>Dimension 1660x1450x1000mm | Pipe Thickness 3mm
Net Weight 183 kg
10 years frame warranty</x:v>
      </x:c>
      <x:c r="J592" s="41" t="str">
        <x:v>Yes</x:v>
      </x:c>
      <x:c r="K592" s="41" t="str">
        <x:v>Yes</x:v>
      </x:c>
    </x:row>
    <x:row r="593">
      <x:c r="A593" s="41" t="str">
        <x:v>APL42</x:v>
      </x:c>
      <x:c r="B593" s="41" t="str">
        <x:v>Leg Press/Hack Squat</x:v>
      </x:c>
      <x:c r="C593" s="41" t="str">
        <x:v>Strength</x:v>
      </x:c>
      <x:c r="D593" s="41" t="str">
        <x:v>Premier</x:v>
      </x:c>
      <x:c r="E593" s="41" t="str">
        <x:v>17</x:v>
      </x:c>
      <x:c r="F593" s="42" t="n">
        <x:v>5940</x:v>
      </x:c>
      <x:c r="G593" s="41" t="str">
        <x:v>Nos</x:v>
      </x:c>
      <x:c r="H593" s="41" t="n">
        <x:v>0</x:v>
      </x:c>
      <x:c r="I593" s="41" t="str">
        <x:v>Dimension 2120x910x1530mm | Pipe Thickness 3mm
Net Weight 235 kg
10 years frame warranty</x:v>
      </x:c>
      <x:c r="J593" s="41" t="str">
        <x:v>Yes</x:v>
      </x:c>
      <x:c r="K593" s="41" t="str">
        <x:v>Yes</x:v>
      </x:c>
    </x:row>
    <x:row r="594">
      <x:c r="A594" s="41" t="str">
        <x:v>APL29</x:v>
      </x:c>
      <x:c r="B594" s="41" t="str">
        <x:v>Standing Chest Press</x:v>
      </x:c>
      <x:c r="C594" s="41" t="str">
        <x:v>Strength</x:v>
      </x:c>
      <x:c r="D594" s="41" t="str">
        <x:v>Premier</x:v>
      </x:c>
      <x:c r="E594" s="41" t="str">
        <x:v>17</x:v>
      </x:c>
      <x:c r="F594" s="42" t="n">
        <x:v>5710</x:v>
      </x:c>
      <x:c r="G594" s="41" t="str">
        <x:v>Nos</x:v>
      </x:c>
      <x:c r="H594" s="41" t="n">
        <x:v>0</x:v>
      </x:c>
      <x:c r="I594" s="41" t="str">
        <x:v>Dimension 1355x2295x1740mm | Pipe Thickness 3mm
Net Weight 166 kg
10 years frame warranty</x:v>
      </x:c>
      <x:c r="J594" s="41" t="str">
        <x:v>Yes</x:v>
      </x:c>
      <x:c r="K594" s="41" t="str">
        <x:v>Yes</x:v>
      </x:c>
    </x:row>
    <x:row r="595">
      <x:c r="A595" s="41" t="str">
        <x:v>APL54</x:v>
      </x:c>
      <x:c r="B595" s="41" t="str">
        <x:v>Seated Calf Raise</x:v>
      </x:c>
      <x:c r="C595" s="41" t="str">
        <x:v>Strength</x:v>
      </x:c>
      <x:c r="D595" s="41" t="str">
        <x:v>Premier</x:v>
      </x:c>
      <x:c r="E595" s="41" t="str">
        <x:v>17</x:v>
      </x:c>
      <x:c r="F595" s="42" t="n">
        <x:v>2140</x:v>
      </x:c>
      <x:c r="G595" s="41" t="str">
        <x:v>Nos</x:v>
      </x:c>
      <x:c r="H595" s="41" t="n">
        <x:v>0</x:v>
      </x:c>
      <x:c r="I595" s="41" t="str">
        <x:v>Dimension 1365x745x1035mm | Pipe Thickness 3mm
Net Weight 42 kg
10 years frame warranty</x:v>
      </x:c>
      <x:c r="J595" s="41" t="str">
        <x:v>Yes</x:v>
      </x:c>
      <x:c r="K595" s="41" t="str">
        <x:v>Yes</x:v>
      </x:c>
    </x:row>
    <x:row r="596">
      <x:c r="A596" s="41" t="str">
        <x:v>APL35</x:v>
      </x:c>
      <x:c r="B596" s="41" t="str">
        <x:v>Glute Ham Developer</x:v>
      </x:c>
      <x:c r="C596" s="41" t="str">
        <x:v>Strength</x:v>
      </x:c>
      <x:c r="D596" s="41" t="str">
        <x:v>Premier</x:v>
      </x:c>
      <x:c r="E596" s="41" t="str">
        <x:v>17</x:v>
      </x:c>
      <x:c r="F596" s="42" t="n">
        <x:v>4660</x:v>
      </x:c>
      <x:c r="G596" s="41" t="str">
        <x:v>Nos</x:v>
      </x:c>
      <x:c r="H596" s="41" t="n">
        <x:v>0</x:v>
      </x:c>
      <x:c r="I596" s="41" t="str">
        <x:v>17</x:v>
      </x:c>
      <x:c r="J596" s="41" t="str">
        <x:v>Yes</x:v>
      </x:c>
      <x:c r="K596" s="41" t="str">
        <x:v>Yes</x:v>
      </x:c>
    </x:row>
    <x:row r="597">
      <x:c r="A597" s="41" t="str">
        <x:v>APL53</x:v>
      </x:c>
      <x:c r="B597" s="41" t="str">
        <x:v>Vertical Knee Raise</x:v>
      </x:c>
      <x:c r="C597" s="41" t="str">
        <x:v>Strength</x:v>
      </x:c>
      <x:c r="D597" s="41" t="str">
        <x:v>Premier</x:v>
      </x:c>
      <x:c r="E597" s="41" t="str">
        <x:v>17</x:v>
      </x:c>
      <x:c r="F597" s="42" t="n">
        <x:v>1710</x:v>
      </x:c>
      <x:c r="G597" s="41" t="str">
        <x:v>Nos</x:v>
      </x:c>
      <x:c r="H597" s="41" t="n">
        <x:v>0</x:v>
      </x:c>
      <x:c r="I597" s="41" t="str">
        <x:v>Dimension 1270X710X1600mm | Pipe Thickness 3mm
Net Weight 110 kg
10 years frame warranty</x:v>
      </x:c>
      <x:c r="J597" s="41" t="str">
        <x:v>Yes</x:v>
      </x:c>
      <x:c r="K597" s="41" t="str">
        <x:v>Yes</x:v>
      </x:c>
    </x:row>
    <x:row r="598">
      <x:c r="A598" s="41" t="str">
        <x:v>APL48</x:v>
      </x:c>
      <x:c r="B598" s="41" t="str">
        <x:v>Olympic Flat Press Bench</x:v>
      </x:c>
      <x:c r="C598" s="41" t="str">
        <x:v>Strength</x:v>
      </x:c>
      <x:c r="D598" s="41" t="str">
        <x:v>Premier</x:v>
      </x:c>
      <x:c r="E598" s="41" t="str">
        <x:v>17</x:v>
      </x:c>
      <x:c r="F598" s="42" t="n">
        <x:v>2260</x:v>
      </x:c>
      <x:c r="G598" s="41" t="str">
        <x:v>Nos</x:v>
      </x:c>
      <x:c r="H598" s="41" t="n">
        <x:v>0</x:v>
      </x:c>
      <x:c r="I598" s="41" t="str">
        <x:v>Dimension 1610x1340x1210mm | Pipe Thickness 3mm
Net Weight 79 kg
10 years frame warranty</x:v>
      </x:c>
      <x:c r="J598" s="41" t="str">
        <x:v>Yes</x:v>
      </x:c>
      <x:c r="K598" s="41" t="str">
        <x:v>Yes</x:v>
      </x:c>
    </x:row>
    <x:row r="599">
      <x:c r="A599" s="41" t="str">
        <x:v>APL37</x:v>
      </x:c>
      <x:c r="B599" s="41" t="str">
        <x:v>Decline Chess-Tricep Press</x:v>
      </x:c>
      <x:c r="C599" s="41" t="str">
        <x:v>Strength</x:v>
      </x:c>
      <x:c r="D599" s="41" t="str">
        <x:v>Premier</x:v>
      </x:c>
      <x:c r="E599" s="41" t="str">
        <x:v>17</x:v>
      </x:c>
      <x:c r="F599" s="42" t="n">
        <x:v>4420</x:v>
      </x:c>
      <x:c r="G599" s="41" t="str">
        <x:v>Nos</x:v>
      </x:c>
      <x:c r="H599" s="41" t="n">
        <x:v>0</x:v>
      </x:c>
      <x:c r="I599" s="41" t="str">
        <x:v>17</x:v>
      </x:c>
      <x:c r="J599" s="41" t="str">
        <x:v>Yes</x:v>
      </x:c>
      <x:c r="K599" s="41" t="str">
        <x:v>Yes</x:v>
      </x:c>
    </x:row>
    <x:row r="600">
      <x:c r="A600" s="41" t="str">
        <x:v>APL32</x:v>
      </x:c>
      <x:c r="B600" s="41" t="str">
        <x:v>Shoulder Press/Incline Press Combo</x:v>
      </x:c>
      <x:c r="C600" s="41" t="str">
        <x:v>Strength</x:v>
      </x:c>
      <x:c r="D600" s="41" t="str">
        <x:v>Premier</x:v>
      </x:c>
      <x:c r="E600" s="41" t="str">
        <x:v>17</x:v>
      </x:c>
      <x:c r="F600" s="42" t="n">
        <x:v>5250</x:v>
      </x:c>
      <x:c r="G600" s="41" t="str">
        <x:v>Nos</x:v>
      </x:c>
      <x:c r="H600" s="41" t="n">
        <x:v>0</x:v>
      </x:c>
      <x:c r="I600" s="41" t="str">
        <x:v>Dimension 1550x1910x1780mm | Pipe Thickness 3mm
Net Weight 180 kg
10 years frame warranty</x:v>
      </x:c>
      <x:c r="J600" s="41" t="str">
        <x:v>Yes</x:v>
      </x:c>
      <x:c r="K600" s="41" t="str">
        <x:v>Yes</x:v>
      </x:c>
    </x:row>
    <x:row r="601">
      <x:c r="A601" s="41" t="str">
        <x:v>APL50</x:v>
      </x:c>
      <x:c r="B601" s="41" t="str">
        <x:v>Olympic Decline Press Bench</x:v>
      </x:c>
      <x:c r="C601" s="41" t="str">
        <x:v>Strength</x:v>
      </x:c>
      <x:c r="D601" s="41" t="str">
        <x:v>Premier</x:v>
      </x:c>
      <x:c r="E601" s="41" t="str">
        <x:v>17</x:v>
      </x:c>
      <x:c r="F601" s="42" t="n">
        <x:v>2740</x:v>
      </x:c>
      <x:c r="G601" s="41" t="str">
        <x:v>Nos</x:v>
      </x:c>
      <x:c r="H601" s="41" t="n">
        <x:v>0</x:v>
      </x:c>
      <x:c r="I601" s="41" t="str">
        <x:v>Dimension 1350x1320x1070mm | Pipe Thickness 3mm
Net Weight 73 kg
10 years frame warranty</x:v>
      </x:c>
      <x:c r="J601" s="41" t="str">
        <x:v>Yes</x:v>
      </x:c>
      <x:c r="K601" s="41" t="str">
        <x:v>Yes</x:v>
      </x:c>
    </x:row>
    <x:row r="602">
      <x:c r="A602" s="41" t="str">
        <x:v>APL46</x:v>
      </x:c>
      <x:c r="B602" s="41" t="str">
        <x:v>Hyper Extension</x:v>
      </x:c>
      <x:c r="C602" s="41" t="str">
        <x:v>Strength</x:v>
      </x:c>
      <x:c r="D602" s="41" t="str">
        <x:v>Premier</x:v>
      </x:c>
      <x:c r="E602" s="41" t="str">
        <x:v>17</x:v>
      </x:c>
      <x:c r="F602" s="42" t="n">
        <x:v>2740</x:v>
      </x:c>
      <x:c r="G602" s="41" t="str">
        <x:v>Nos</x:v>
      </x:c>
      <x:c r="H602" s="41" t="n">
        <x:v>0</x:v>
      </x:c>
      <x:c r="I602" s="41" t="str">
        <x:v>Pipe Thickness 3mm
Net Weight 28 kg
10 years frame warranty</x:v>
      </x:c>
      <x:c r="J602" s="41" t="str">
        <x:v>Yes</x:v>
      </x:c>
      <x:c r="K602" s="41" t="str">
        <x:v>Yes</x:v>
      </x:c>
    </x:row>
    <x:row r="603">
      <x:c r="A603" s="41" t="str">
        <x:v>APL47</x:v>
      </x:c>
      <x:c r="B603" s="41" t="str">
        <x:v>Dumbbell Bench</x:v>
      </x:c>
      <x:c r="C603" s="41" t="str">
        <x:v>Strength</x:v>
      </x:c>
      <x:c r="D603" s="41" t="str">
        <x:v>Premier</x:v>
      </x:c>
      <x:c r="E603" s="41" t="str">
        <x:v>17</x:v>
      </x:c>
      <x:c r="F603" s="42" t="n">
        <x:v>770</x:v>
      </x:c>
      <x:c r="G603" s="41" t="str">
        <x:v>Nos</x:v>
      </x:c>
      <x:c r="H603" s="41" t="n">
        <x:v>0</x:v>
      </x:c>
      <x:c r="I603" s="41" t="str">
        <x:v>Dimension 1200X760X850mm | Pipe Thickness 3mm
Net Weight 24 kg
10 years frame warranty</x:v>
      </x:c>
      <x:c r="J603" s="41" t="str">
        <x:v>Yes</x:v>
      </x:c>
      <x:c r="K603" s="41" t="str">
        <x:v>Yes</x:v>
      </x:c>
    </x:row>
    <x:row r="604">
      <x:c r="A604" s="41" t="str">
        <x:v>APL44</x:v>
      </x:c>
      <x:c r="B604" s="41" t="str">
        <x:v>Leg Press</x:v>
      </x:c>
      <x:c r="C604" s="41" t="str">
        <x:v>Strength</x:v>
      </x:c>
      <x:c r="D604" s="41" t="str">
        <x:v>Premier</x:v>
      </x:c>
      <x:c r="E604" s="41" t="str">
        <x:v>17</x:v>
      </x:c>
      <x:c r="F604" s="42" t="n">
        <x:v>6750</x:v>
      </x:c>
      <x:c r="G604" s="41" t="str">
        <x:v>Nos</x:v>
      </x:c>
      <x:c r="H604" s="41" t="n">
        <x:v>0</x:v>
      </x:c>
      <x:c r="I604" s="41" t="str">
        <x:v>Dimension 2120x910x1530mm | Pipe Thickness 3mm
Net Weight 260 kg
10 years frame warranty</x:v>
      </x:c>
      <x:c r="J604" s="41" t="str">
        <x:v>Yes</x:v>
      </x:c>
      <x:c r="K604" s="41" t="str">
        <x:v>Yes</x:v>
      </x:c>
    </x:row>
    <x:row r="605">
      <x:c r="A605" s="41" t="str">
        <x:v>APL39</x:v>
      </x:c>
      <x:c r="B605" s="41" t="str">
        <x:v>Back Extension</x:v>
      </x:c>
      <x:c r="C605" s="41" t="str">
        <x:v>Strength</x:v>
      </x:c>
      <x:c r="D605" s="41" t="str">
        <x:v>Premier</x:v>
      </x:c>
      <x:c r="E605" s="41" t="str">
        <x:v>17</x:v>
      </x:c>
      <x:c r="F605" s="42" t="n">
        <x:v>2790</x:v>
      </x:c>
      <x:c r="G605" s="41" t="str">
        <x:v>Nos</x:v>
      </x:c>
      <x:c r="H605" s="41" t="n">
        <x:v>0</x:v>
      </x:c>
      <x:c r="I605" s="41" t="str">
        <x:v>17</x:v>
      </x:c>
      <x:c r="J605" s="41" t="str">
        <x:v>Yes</x:v>
      </x:c>
      <x:c r="K605" s="41" t="str">
        <x:v>Yes</x:v>
      </x:c>
    </x:row>
    <x:row r="606">
      <x:c r="A606" s="41" t="str">
        <x:v>APL45</x:v>
      </x:c>
      <x:c r="B606" s="41" t="str">
        <x:v>Commercial Plate Loaded Incline Fly</x:v>
      </x:c>
      <x:c r="C606" s="41" t="str">
        <x:v>Strength</x:v>
      </x:c>
      <x:c r="D606" s="41" t="str">
        <x:v>Premier</x:v>
      </x:c>
      <x:c r="E606" s="41" t="str">
        <x:v>17</x:v>
      </x:c>
      <x:c r="F606" s="42" t="n">
        <x:v>2680</x:v>
      </x:c>
      <x:c r="G606" s="41" t="str">
        <x:v>Nos</x:v>
      </x:c>
      <x:c r="H606" s="41" t="n">
        <x:v>0</x:v>
      </x:c>
      <x:c r="I606" s="41" t="str">
        <x:v>Dimension 1630x800x500mm | Pipe Thickness 3mm
Net Weight 95 kg
10 years frame warranty</x:v>
      </x:c>
      <x:c r="J606" s="41" t="str">
        <x:v>Yes</x:v>
      </x:c>
      <x:c r="K606" s="41" t="str">
        <x:v>Yes</x:v>
      </x:c>
    </x:row>
    <x:row r="607">
      <x:c r="A607" s="41" t="str">
        <x:v>APL52</x:v>
      </x:c>
      <x:c r="B607" s="41" t="str">
        <x:v>Adjustable Web Board (Abdominal)</x:v>
      </x:c>
      <x:c r="C607" s="41" t="str">
        <x:v>Strength</x:v>
      </x:c>
      <x:c r="D607" s="41" t="str">
        <x:v>Premier</x:v>
      </x:c>
      <x:c r="E607" s="41" t="str">
        <x:v>17</x:v>
      </x:c>
      <x:c r="F607" s="42" t="n">
        <x:v>2020</x:v>
      </x:c>
      <x:c r="G607" s="41" t="str">
        <x:v>Nos</x:v>
      </x:c>
      <x:c r="H607" s="41" t="n">
        <x:v>0</x:v>
      </x:c>
      <x:c r="I607" s="41" t="str">
        <x:v>Dimension 1720x750x910mm | Pipe Thickness 3mm
Net Weight 44 kg
10 years frame warranty</x:v>
      </x:c>
      <x:c r="J607" s="41" t="str">
        <x:v>Yes</x:v>
      </x:c>
      <x:c r="K607" s="41" t="str">
        <x:v>Yes</x:v>
      </x:c>
    </x:row>
    <x:row r="608">
      <x:c r="A608" s="41" t="str">
        <x:v>PXN01</x:v>
      </x:c>
      <x:c r="B608" s="41" t="str">
        <x:v>Seated Chest Press</x:v>
      </x:c>
      <x:c r="C608" s="41" t="str">
        <x:v>Strength</x:v>
      </x:c>
      <x:c r="D608" s="41" t="str">
        <x:v>Premier</x:v>
      </x:c>
      <x:c r="E608" s="41" t="str">
        <x:v>17</x:v>
      </x:c>
      <x:c r="F608" s="42" t="n">
        <x:v>7220</x:v>
      </x:c>
      <x:c r="G608" s="41" t="str">
        <x:v>Nos</x:v>
      </x:c>
      <x:c r="H608" s="41" t="n">
        <x:v>0</x:v>
      </x:c>
      <x:c r="I608" s="41" t="str">
        <x:v>Dimension: 1353x1115x1581mm | Weight Stack: 100 kg
Net Weight 257 kg
10 years frame warranty</x:v>
      </x:c>
      <x:c r="J608" s="41" t="str">
        <x:v>Yes</x:v>
      </x:c>
      <x:c r="K608" s="41" t="str">
        <x:v>Yes</x:v>
      </x:c>
    </x:row>
    <x:row r="609">
      <x:c r="A609" s="41" t="str">
        <x:v>APL31</x:v>
      </x:c>
      <x:c r="B609" s="41" t="str">
        <x:v>Plate Loaded Dual Lever Chest Press</x:v>
      </x:c>
      <x:c r="C609" s="41" t="str">
        <x:v>Strength</x:v>
      </x:c>
      <x:c r="D609" s="41" t="str">
        <x:v>Premier</x:v>
      </x:c>
      <x:c r="E609" s="41" t="str">
        <x:v>17</x:v>
      </x:c>
      <x:c r="F609" s="42" t="n">
        <x:v>4420</x:v>
      </x:c>
      <x:c r="G609" s="41" t="str">
        <x:v>Nos</x:v>
      </x:c>
      <x:c r="H609" s="41" t="n">
        <x:v>0</x:v>
      </x:c>
      <x:c r="I609" s="41" t="str">
        <x:v>Dimension 1450x1950x1400mm | Pipe Thickness 3mm
Net Weight 175 kg
10 years frame warranty</x:v>
      </x:c>
      <x:c r="J609" s="41" t="str">
        <x:v>Yes</x:v>
      </x:c>
      <x:c r="K609" s="41" t="str">
        <x:v>Yes</x:v>
      </x:c>
    </x:row>
    <x:row r="610">
      <x:c r="A610" s="41" t="str">
        <x:v>APL33</x:v>
      </x:c>
      <x:c r="B610" s="41" t="str">
        <x:v>Viking Press with Calf Raise</x:v>
      </x:c>
      <x:c r="C610" s="41" t="str">
        <x:v>Strength</x:v>
      </x:c>
      <x:c r="D610" s="41" t="str">
        <x:v>Premier</x:v>
      </x:c>
      <x:c r="E610" s="41" t="str">
        <x:v>17</x:v>
      </x:c>
      <x:c r="F610" s="42" t="n">
        <x:v>3670</x:v>
      </x:c>
      <x:c r="G610" s="41" t="str">
        <x:v>Nos</x:v>
      </x:c>
      <x:c r="H610" s="41" t="n">
        <x:v>0</x:v>
      </x:c>
      <x:c r="I610" s="41" t="str">
        <x:v>17</x:v>
      </x:c>
      <x:c r="J610" s="41" t="str">
        <x:v>Yes</x:v>
      </x:c>
      <x:c r="K610" s="41" t="str">
        <x:v>Yes</x:v>
      </x:c>
    </x:row>
    <x:row r="611">
      <x:c r="A611" s="41" t="str">
        <x:v>PXN02</x:v>
      </x:c>
      <x:c r="B611" s="41" t="str">
        <x:v>PecFly/RearDelt</x:v>
      </x:c>
      <x:c r="C611" s="41" t="str">
        <x:v>Strength</x:v>
      </x:c>
      <x:c r="D611" s="41" t="str">
        <x:v>Premier</x:v>
      </x:c>
      <x:c r="E611" s="41" t="str">
        <x:v>17</x:v>
      </x:c>
      <x:c r="F611" s="42" t="n">
        <x:v>8520</x:v>
      </x:c>
      <x:c r="G611" s="41" t="str">
        <x:v>Nos</x:v>
      </x:c>
      <x:c r="H611" s="41" t="n">
        <x:v>0</x:v>
      </x:c>
      <x:c r="I611" s="41" t="str">
        <x:v>Dimension: 1533x1123x2058mm | Weight Stack: 100 kg
Net Weight 256 kg
10 years frame warranty</x:v>
      </x:c>
      <x:c r="J611" s="41" t="str">
        <x:v>Yes</x:v>
      </x:c>
      <x:c r="K611" s="41" t="str">
        <x:v>Yes</x:v>
      </x:c>
    </x:row>
    <x:row r="612">
      <x:c r="A612" s="41" t="str">
        <x:v>APL40</x:v>
      </x:c>
      <x:c r="B612" s="41" t="str">
        <x:v>Plate Loaded Leg Extension&amp;Prone Leg Curl Bench</x:v>
      </x:c>
      <x:c r="C612" s="41" t="str">
        <x:v>Strength</x:v>
      </x:c>
      <x:c r="D612" s="41" t="str">
        <x:v>Premier</x:v>
      </x:c>
      <x:c r="E612" s="41" t="str">
        <x:v>17</x:v>
      </x:c>
      <x:c r="F612" s="42" t="n">
        <x:v>3200</x:v>
      </x:c>
      <x:c r="G612" s="41" t="str">
        <x:v>Nos</x:v>
      </x:c>
      <x:c r="H612" s="41" t="n">
        <x:v>0</x:v>
      </x:c>
      <x:c r="I612" s="41" t="str">
        <x:v>17</x:v>
      </x:c>
      <x:c r="J612" s="41" t="str">
        <x:v>Yes</x:v>
      </x:c>
      <x:c r="K612" s="41" t="str">
        <x:v>Yes</x:v>
      </x:c>
    </x:row>
    <x:row r="613">
      <x:c r="A613" s="41" t="str">
        <x:v>APL41</x:v>
      </x:c>
      <x:c r="B613" s="41" t="str">
        <x:v>Leteral Pulldown</x:v>
      </x:c>
      <x:c r="C613" s="41" t="str">
        <x:v>Strength</x:v>
      </x:c>
      <x:c r="D613" s="41" t="str">
        <x:v>Premier</x:v>
      </x:c>
      <x:c r="E613" s="41" t="str">
        <x:v>17</x:v>
      </x:c>
      <x:c r="F613" s="42" t="n">
        <x:v>5010</x:v>
      </x:c>
      <x:c r="G613" s="41" t="str">
        <x:v>Nos</x:v>
      </x:c>
      <x:c r="H613" s="41" t="n">
        <x:v>0</x:v>
      </x:c>
      <x:c r="I613" s="41" t="str">
        <x:v>Dimension 1600x1600x1980mm | Pipe Thickness 3mm
Net Weight 150 kg
10 years frame warranty</x:v>
      </x:c>
      <x:c r="J613" s="41" t="str">
        <x:v>Yes</x:v>
      </x:c>
      <x:c r="K613" s="41" t="str">
        <x:v>Yes</x:v>
      </x:c>
    </x:row>
    <x:row r="614">
      <x:c r="A614" s="41" t="str">
        <x:v>APL21</x:v>
      </x:c>
      <x:c r="B614" s="41" t="str">
        <x:v>Bent Over Row</x:v>
      </x:c>
      <x:c r="C614" s="41" t="str">
        <x:v>Strength</x:v>
      </x:c>
      <x:c r="D614" s="41" t="str">
        <x:v>Premier</x:v>
      </x:c>
      <x:c r="E614" s="41" t="str">
        <x:v>17</x:v>
      </x:c>
      <x:c r="F614" s="42" t="n">
        <x:v>4080</x:v>
      </x:c>
      <x:c r="G614" s="41" t="str">
        <x:v>Nos</x:v>
      </x:c>
      <x:c r="H614" s="41" t="n">
        <x:v>0</x:v>
      </x:c>
      <x:c r="I614" s="41" t="str">
        <x:v>Dimension 1770x1630x1020mm | Pipe Thickness 3mm
Net Weight 118 kg
10 years frame warranty</x:v>
      </x:c>
      <x:c r="J614" s="41" t="str">
        <x:v>Yes</x:v>
      </x:c>
      <x:c r="K614" s="41" t="str">
        <x:v>Yes</x:v>
      </x:c>
    </x:row>
    <x:row r="615">
      <x:c r="A615" s="41" t="str">
        <x:v>APL16</x:v>
      </x:c>
      <x:c r="B615" s="41" t="str">
        <x:v>Horizontal ISO Chest Press</x:v>
      </x:c>
      <x:c r="C615" s="41" t="str">
        <x:v>Strength</x:v>
      </x:c>
      <x:c r="D615" s="41" t="str">
        <x:v>Premier</x:v>
      </x:c>
      <x:c r="E615" s="41" t="str">
        <x:v>17</x:v>
      </x:c>
      <x:c r="F615" s="42" t="n">
        <x:v>3650</x:v>
      </x:c>
      <x:c r="G615" s="41" t="str">
        <x:v>Nos</x:v>
      </x:c>
      <x:c r="H615" s="41" t="n">
        <x:v>0</x:v>
      </x:c>
      <x:c r="I615" s="41" t="str">
        <x:v>Dimension 1500x1200x450mm | Pipe Thickness 3mm
Net Weight 121 kg
10 years frame warranty</x:v>
      </x:c>
      <x:c r="J615" s="41" t="str">
        <x:v>Yes</x:v>
      </x:c>
      <x:c r="K615" s="41" t="str">
        <x:v>Yes</x:v>
      </x:c>
    </x:row>
    <x:row r="616">
      <x:c r="A616" s="41" t="str">
        <x:v>APL09</x:v>
      </x:c>
      <x:c r="B616" s="41" t="str">
        <x:v>Seated Row</x:v>
      </x:c>
      <x:c r="C616" s="41" t="str">
        <x:v>Strength</x:v>
      </x:c>
      <x:c r="D616" s="41" t="str">
        <x:v>Premier</x:v>
      </x:c>
      <x:c r="E616" s="41" t="str">
        <x:v>17</x:v>
      </x:c>
      <x:c r="F616" s="42" t="n">
        <x:v>4080</x:v>
      </x:c>
      <x:c r="G616" s="41" t="str">
        <x:v>Nos</x:v>
      </x:c>
      <x:c r="H616" s="41" t="n">
        <x:v>0</x:v>
      </x:c>
      <x:c r="I616" s="41" t="str">
        <x:v>Dimension 1180x1180x1180mm | Pipe Thickness 3mm
Net Weight 135 kg
10 years frame warranty</x:v>
      </x:c>
      <x:c r="J616" s="41" t="str">
        <x:v>Yes</x:v>
      </x:c>
      <x:c r="K616" s="41" t="str">
        <x:v>Yes</x:v>
      </x:c>
    </x:row>
    <x:row r="617">
      <x:c r="A617" s="41" t="str">
        <x:v>APL14</x:v>
      </x:c>
      <x:c r="B617" s="41" t="str">
        <x:v>Glute Trainer</x:v>
      </x:c>
      <x:c r="C617" s="41" t="str">
        <x:v>Strength</x:v>
      </x:c>
      <x:c r="D617" s="41" t="str">
        <x:v>Premier</x:v>
      </x:c>
      <x:c r="E617" s="41" t="str">
        <x:v>17</x:v>
      </x:c>
      <x:c r="F617" s="42" t="n">
        <x:v>3960</x:v>
      </x:c>
      <x:c r="G617" s="41" t="str">
        <x:v>Nos</x:v>
      </x:c>
      <x:c r="H617" s="41" t="n">
        <x:v>0</x:v>
      </x:c>
      <x:c r="I617" s="41" t="str">
        <x:v>Dimension 1750x960x330mm | Pipe Thickness 3mm
Net Weight 74 kg
10 years frame warranty</x:v>
      </x:c>
      <x:c r="J617" s="41" t="str">
        <x:v>Yes</x:v>
      </x:c>
      <x:c r="K617" s="41" t="str">
        <x:v>Yes</x:v>
      </x:c>
    </x:row>
    <x:row r="618">
      <x:c r="A618" s="41" t="str">
        <x:v>APL11</x:v>
      </x:c>
      <x:c r="B618" s="41" t="str">
        <x:v>Low Row</x:v>
      </x:c>
      <x:c r="C618" s="41" t="str">
        <x:v>Strength</x:v>
      </x:c>
      <x:c r="D618" s="41" t="str">
        <x:v>Premier</x:v>
      </x:c>
      <x:c r="E618" s="41" t="str">
        <x:v>17</x:v>
      </x:c>
      <x:c r="F618" s="42" t="n">
        <x:v>4660</x:v>
      </x:c>
      <x:c r="G618" s="41" t="str">
        <x:v>Nos</x:v>
      </x:c>
      <x:c r="H618" s="41" t="n">
        <x:v>0</x:v>
      </x:c>
      <x:c r="I618" s="41" t="str">
        <x:v>Dimension 1540x1260x1720mm | Pipe Thickness 3mm
Net Weight 139 kg
10 years frame warranty</x:v>
      </x:c>
      <x:c r="J618" s="41" t="str">
        <x:v>Yes</x:v>
      </x:c>
      <x:c r="K618" s="41" t="str">
        <x:v>Yes</x:v>
      </x:c>
    </x:row>
    <x:row r="619">
      <x:c r="A619" s="41" t="str">
        <x:v>APL24</x:v>
      </x:c>
      <x:c r="B619" s="41" t="str">
        <x:v>Belt Squat Machine</x:v>
      </x:c>
      <x:c r="C619" s="41" t="str">
        <x:v>Strength</x:v>
      </x:c>
      <x:c r="D619" s="41" t="str">
        <x:v>Premier</x:v>
      </x:c>
      <x:c r="E619" s="41" t="str">
        <x:v>17</x:v>
      </x:c>
      <x:c r="F619" s="42" t="n">
        <x:v>4770</x:v>
      </x:c>
      <x:c r="G619" s="41" t="str">
        <x:v>Nos</x:v>
      </x:c>
      <x:c r="H619" s="41" t="n">
        <x:v>0</x:v>
      </x:c>
      <x:c r="I619" s="41" t="str">
        <x:v>Dimension 2220x1240x1510mm | Pipe Thickness 3mm
Net Weight 210 kg
10 years frame warranty</x:v>
      </x:c>
      <x:c r="J619" s="41" t="str">
        <x:v>Yes</x:v>
      </x:c>
      <x:c r="K619" s="41" t="str">
        <x:v>Yes</x:v>
      </x:c>
    </x:row>
    <x:row r="620">
      <x:c r="A620" s="41" t="str">
        <x:v>APL12</x:v>
      </x:c>
      <x:c r="B620" s="41" t="str">
        <x:v>Tricep Dip</x:v>
      </x:c>
      <x:c r="C620" s="41" t="str">
        <x:v>Strength</x:v>
      </x:c>
      <x:c r="D620" s="41" t="str">
        <x:v>Premier</x:v>
      </x:c>
      <x:c r="E620" s="41" t="str">
        <x:v>17</x:v>
      </x:c>
      <x:c r="F620" s="42" t="n">
        <x:v>4080</x:v>
      </x:c>
      <x:c r="G620" s="41" t="str">
        <x:v>Nos</x:v>
      </x:c>
      <x:c r="H620" s="41" t="n">
        <x:v>0</x:v>
      </x:c>
      <x:c r="I620" s="41" t="str">
        <x:v>Dimension 1870x980x450mm | Pipe Thickness 3mm
Net Weight 124 kg
10 years frame warranty</x:v>
      </x:c>
      <x:c r="J620" s="41" t="str">
        <x:v>Yes</x:v>
      </x:c>
      <x:c r="K620" s="41" t="str">
        <x:v>Yes</x:v>
      </x:c>
    </x:row>
    <x:row r="621">
      <x:c r="A621" s="41" t="str">
        <x:v>APL08</x:v>
      </x:c>
      <x:c r="B621" s="41" t="str">
        <x:v>Leg Press</x:v>
      </x:c>
      <x:c r="C621" s="41" t="str">
        <x:v>Strength</x:v>
      </x:c>
      <x:c r="D621" s="41" t="str">
        <x:v>Premier</x:v>
      </x:c>
      <x:c r="E621" s="41" t="str">
        <x:v>17</x:v>
      </x:c>
      <x:c r="F621" s="42" t="n">
        <x:v>6290</x:v>
      </x:c>
      <x:c r="G621" s="41" t="str">
        <x:v>Nos</x:v>
      </x:c>
      <x:c r="H621" s="41" t="n">
        <x:v>0</x:v>
      </x:c>
      <x:c r="I621" s="41" t="str">
        <x:v>Dimension 2120x910x1530mm | Pipe Thickness 3mm
Net Weight 168 kg
10 years frame warranty</x:v>
      </x:c>
      <x:c r="J621" s="41" t="str">
        <x:v>Yes</x:v>
      </x:c>
      <x:c r="K621" s="41" t="str">
        <x:v>Yes</x:v>
      </x:c>
    </x:row>
    <x:row r="622">
      <x:c r="A622" s="41" t="str">
        <x:v>APL10</x:v>
      </x:c>
      <x:c r="B622" s="41" t="str">
        <x:v>Leg Curl</x:v>
      </x:c>
      <x:c r="C622" s="41" t="str">
        <x:v>Strength</x:v>
      </x:c>
      <x:c r="D622" s="41" t="str">
        <x:v>Premier</x:v>
      </x:c>
      <x:c r="E622" s="41" t="str">
        <x:v>17</x:v>
      </x:c>
      <x:c r="F622" s="42" t="n">
        <x:v>4080</x:v>
      </x:c>
      <x:c r="G622" s="41" t="str">
        <x:v>Nos</x:v>
      </x:c>
      <x:c r="H622" s="41" t="n">
        <x:v>0</x:v>
      </x:c>
      <x:c r="I622" s="41" t="str">
        <x:v>Dimension 1100x1080x1160mm | Pipe Thickness 3mm
Net Weight 117 kg
10 years frame warranty</x:v>
      </x:c>
      <x:c r="J622" s="41" t="str">
        <x:v>Yes</x:v>
      </x:c>
      <x:c r="K622" s="41" t="str">
        <x:v>Yes</x:v>
      </x:c>
    </x:row>
    <x:row r="623">
      <x:c r="A623" s="41" t="str">
        <x:v>APL07</x:v>
      </x:c>
      <x:c r="B623" s="41" t="str">
        <x:v>Adjustable ISO Leg Extension</x:v>
      </x:c>
      <x:c r="C623" s="41" t="str">
        <x:v>Strength</x:v>
      </x:c>
      <x:c r="D623" s="41" t="str">
        <x:v>Premier</x:v>
      </x:c>
      <x:c r="E623" s="41" t="str">
        <x:v>17</x:v>
      </x:c>
      <x:c r="F623" s="42" t="n">
        <x:v>4080</x:v>
      </x:c>
      <x:c r="G623" s="41" t="str">
        <x:v>Nos</x:v>
      </x:c>
      <x:c r="H623" s="41" t="n">
        <x:v>0</x:v>
      </x:c>
      <x:c r="I623" s="41" t="str">
        <x:v>Dimension 1050x1620x1070mm | Pipe Thickness 3mm
Net Weight 123 kg
10 years frame warranty</x:v>
      </x:c>
      <x:c r="J623" s="41" t="str">
        <x:v>Yes</x:v>
      </x:c>
      <x:c r="K623" s="41" t="str">
        <x:v>Yes</x:v>
      </x:c>
    </x:row>
    <x:row r="624">
      <x:c r="A624" s="41" t="str">
        <x:v>APL06</x:v>
      </x:c>
      <x:c r="B624" s="41" t="str">
        <x:v>Incline Chest Press</x:v>
      </x:c>
      <x:c r="C624" s="41" t="str">
        <x:v>Strength</x:v>
      </x:c>
      <x:c r="D624" s="41" t="str">
        <x:v>Premier</x:v>
      </x:c>
      <x:c r="E624" s="41" t="str">
        <x:v>17</x:v>
      </x:c>
      <x:c r="F624" s="42" t="n">
        <x:v>4660</x:v>
      </x:c>
      <x:c r="G624" s="41" t="str">
        <x:v>Nos</x:v>
      </x:c>
      <x:c r="H624" s="41" t="n">
        <x:v>0</x:v>
      </x:c>
      <x:c r="I624" s="41" t="str">
        <x:v>Dimension 1090x1820x1770mm | Pipe Thickness 3mm
Net Weight 153 kg
10 years frame warranty</x:v>
      </x:c>
      <x:c r="J624" s="41" t="str">
        <x:v>Yes</x:v>
      </x:c>
      <x:c r="K624" s="41" t="str">
        <x:v>Yes</x:v>
      </x:c>
    </x:row>
    <x:row r="625">
      <x:c r="A625" s="41" t="str">
        <x:v>APL18</x:v>
      </x:c>
      <x:c r="B625" s="41" t="str">
        <x:v>Commercial Plate Loaded Pull Over</x:v>
      </x:c>
      <x:c r="C625" s="41" t="str">
        <x:v>Strength</x:v>
      </x:c>
      <x:c r="D625" s="41" t="str">
        <x:v>Premier</x:v>
      </x:c>
      <x:c r="E625" s="41" t="str">
        <x:v>17</x:v>
      </x:c>
      <x:c r="F625" s="42" t="n">
        <x:v>4550</x:v>
      </x:c>
      <x:c r="G625" s="41" t="str">
        <x:v>Nos</x:v>
      </x:c>
      <x:c r="H625" s="41" t="n">
        <x:v>0</x:v>
      </x:c>
      <x:c r="I625" s="41" t="str">
        <x:v>Dimension 1700x1400x650mm | Pipe Thickness 3mm
Net Weight 177 kg
10 years frame warranty</x:v>
      </x:c>
      <x:c r="J625" s="41" t="str">
        <x:v>Yes</x:v>
      </x:c>
      <x:c r="K625" s="41" t="str">
        <x:v>Yes</x:v>
      </x:c>
    </x:row>
    <x:row r="626">
      <x:c r="A626" s="41" t="str">
        <x:v>APL15</x:v>
      </x:c>
      <x:c r="B626" s="41" t="str">
        <x:v>Glute Hip Drive</x:v>
      </x:c>
      <x:c r="C626" s="41" t="str">
        <x:v>Strength</x:v>
      </x:c>
      <x:c r="D626" s="41" t="str">
        <x:v>Premier</x:v>
      </x:c>
      <x:c r="E626" s="41" t="str">
        <x:v>17</x:v>
      </x:c>
      <x:c r="F626" s="42" t="n">
        <x:v>5880</x:v>
      </x:c>
      <x:c r="G626" s="41" t="str">
        <x:v>Nos</x:v>
      </x:c>
      <x:c r="H626" s="41" t="n">
        <x:v>0</x:v>
      </x:c>
      <x:c r="I626" s="41" t="str">
        <x:v>Dimension 1700x750x510mm | Pipe Thickness 3mm
Net Weight 152 kg
10 years frame warranty</x:v>
      </x:c>
      <x:c r="J626" s="41" t="str">
        <x:v>Yes</x:v>
      </x:c>
      <x:c r="K626" s="41" t="str">
        <x:v>Yes</x:v>
      </x:c>
    </x:row>
    <x:row r="627">
      <x:c r="A627" s="41" t="str">
        <x:v>APL19</x:v>
      </x:c>
      <x:c r="B627" s="41" t="str">
        <x:v>Commercial Leverage Squat</x:v>
      </x:c>
      <x:c r="C627" s="41" t="str">
        <x:v>Strength</x:v>
      </x:c>
      <x:c r="D627" s="41" t="str">
        <x:v>Premier</x:v>
      </x:c>
      <x:c r="E627" s="41" t="str">
        <x:v>17</x:v>
      </x:c>
      <x:c r="F627" s="42" t="n">
        <x:v>4550</x:v>
      </x:c>
      <x:c r="G627" s="41" t="str">
        <x:v>Nos</x:v>
      </x:c>
      <x:c r="H627" s="41" t="n">
        <x:v>0</x:v>
      </x:c>
      <x:c r="I627" s="41" t="str">
        <x:v>Dimension 1610x1690x1665mm | Pipe Thickness 3mm
Net Weight 125 kg
10 years frame warranty</x:v>
      </x:c>
      <x:c r="J627" s="41" t="str">
        <x:v>Yes</x:v>
      </x:c>
      <x:c r="K627" s="41" t="str">
        <x:v>Yes</x:v>
      </x:c>
    </x:row>
    <x:row r="628">
      <x:c r="A628" s="41" t="str">
        <x:v>APL13</x:v>
      </x:c>
      <x:c r="B628" s="41" t="str">
        <x:v>Biceps Curl</x:v>
      </x:c>
      <x:c r="C628" s="41" t="str">
        <x:v>Strength</x:v>
      </x:c>
      <x:c r="D628" s="41" t="str">
        <x:v>Premier</x:v>
      </x:c>
      <x:c r="E628" s="41" t="str">
        <x:v>17</x:v>
      </x:c>
      <x:c r="F628" s="42" t="n">
        <x:v>4080</x:v>
      </x:c>
      <x:c r="G628" s="41" t="str">
        <x:v>Nos</x:v>
      </x:c>
      <x:c r="H628" s="41" t="n">
        <x:v>0</x:v>
      </x:c>
      <x:c r="I628" s="41" t="str">
        <x:v>Dimension 1350x980x120mm | Pipe Thickness 3mm
Net Weight 105 kg
10 years frame warranty</x:v>
      </x:c>
      <x:c r="J628" s="41" t="str">
        <x:v>Yes</x:v>
      </x:c>
      <x:c r="K628" s="41" t="str">
        <x:v>Yes</x:v>
      </x:c>
    </x:row>
    <x:row r="629">
      <x:c r="A629" s="41" t="str">
        <x:v>APL23</x:v>
      </x:c>
      <x:c r="B629" s="41" t="str">
        <x:v>Commercial-Standing-T-Bar-Row</x:v>
      </x:c>
      <x:c r="C629" s="41" t="str">
        <x:v>Strength</x:v>
      </x:c>
      <x:c r="D629" s="41" t="str">
        <x:v>Premier</x:v>
      </x:c>
      <x:c r="E629" s="41" t="str">
        <x:v>17</x:v>
      </x:c>
      <x:c r="F629" s="42" t="n">
        <x:v>3500</x:v>
      </x:c>
      <x:c r="G629" s="41" t="str">
        <x:v>Nos</x:v>
      </x:c>
      <x:c r="H629" s="41" t="n">
        <x:v>0</x:v>
      </x:c>
      <x:c r="I629" s="41" t="str">
        <x:v>Dimension 2120x1040x525mm | Pipe Thickness 3mm
Net Weight 99 kg
10 years frame warranty</x:v>
      </x:c>
      <x:c r="J629" s="41" t="str">
        <x:v>Yes</x:v>
      </x:c>
      <x:c r="K629" s="41" t="str">
        <x:v>Yes</x:v>
      </x:c>
    </x:row>
    <x:row r="630">
      <x:c r="A630" s="41" t="str">
        <x:v>APL20</x:v>
      </x:c>
      <x:c r="B630" s="41" t="str">
        <x:v>Front Facing Lat Pulldown</x:v>
      </x:c>
      <x:c r="C630" s="41" t="str">
        <x:v>Strength</x:v>
      </x:c>
      <x:c r="D630" s="41" t="str">
        <x:v>Premier</x:v>
      </x:c>
      <x:c r="E630" s="41" t="str">
        <x:v>17</x:v>
      </x:c>
      <x:c r="F630" s="42" t="n">
        <x:v>5660</x:v>
      </x:c>
      <x:c r="G630" s="41" t="str">
        <x:v>Nos</x:v>
      </x:c>
      <x:c r="H630" s="41" t="n">
        <x:v>0</x:v>
      </x:c>
      <x:c r="I630" s="41" t="str">
        <x:v>Dimension 1280x1775x2430mm | Pipe Thickness 3mm
Net Weight 198 kg
10 years frame warranty</x:v>
      </x:c>
      <x:c r="J630" s="41" t="str">
        <x:v>Yes</x:v>
      </x:c>
      <x:c r="K630" s="41" t="str">
        <x:v>Yes</x:v>
      </x:c>
    </x:row>
    <x:row r="631">
      <x:c r="A631" s="41" t="str">
        <x:v>APL25</x:v>
      </x:c>
      <x:c r="B631" s="41" t="str">
        <x:v>Pendulum-Squat</x:v>
      </x:c>
      <x:c r="C631" s="41" t="str">
        <x:v>Strength</x:v>
      </x:c>
      <x:c r="D631" s="41" t="str">
        <x:v>Premier</x:v>
      </x:c>
      <x:c r="E631" s="41" t="str">
        <x:v>17</x:v>
      </x:c>
      <x:c r="F631" s="42" t="n">
        <x:v>4660</x:v>
      </x:c>
      <x:c r="G631" s="41" t="str">
        <x:v>Nos</x:v>
      </x:c>
      <x:c r="H631" s="41" t="n">
        <x:v>0</x:v>
      </x:c>
      <x:c r="I631" s="41" t="str">
        <x:v>Dimension 2000x1000x760mm | Pipe Thickness 3mm
Net Weight 190 kg
10 years frame warranty</x:v>
      </x:c>
      <x:c r="J631" s="41" t="str">
        <x:v>Yes</x:v>
      </x:c>
      <x:c r="K631" s="41" t="str">
        <x:v>Yes</x:v>
      </x:c>
    </x:row>
    <x:row r="632">
      <x:c r="A632" s="41" t="str">
        <x:v>APL27</x:v>
      </x:c>
      <x:c r="B632" s="41" t="str">
        <x:v>Seated Converging Chest Press</x:v>
      </x:c>
      <x:c r="C632" s="41" t="str">
        <x:v>Strength</x:v>
      </x:c>
      <x:c r="D632" s="41" t="str">
        <x:v>Premier</x:v>
      </x:c>
      <x:c r="E632" s="41" t="str">
        <x:v>17</x:v>
      </x:c>
      <x:c r="F632" s="42" t="n">
        <x:v>6410</x:v>
      </x:c>
      <x:c r="G632" s="41" t="str">
        <x:v>Nos</x:v>
      </x:c>
      <x:c r="H632" s="41" t="n">
        <x:v>0</x:v>
      </x:c>
      <x:c r="I632" s="41" t="str">
        <x:v>17</x:v>
      </x:c>
      <x:c r="J632" s="41" t="str">
        <x:v>Yes</x:v>
      </x:c>
      <x:c r="K632" s="41" t="str">
        <x:v>Yes</x:v>
      </x:c>
    </x:row>
    <x:row r="633">
      <x:c r="A633" s="41" t="str">
        <x:v>APL26</x:v>
      </x:c>
      <x:c r="B633" s="41" t="str">
        <x:v>Plate Loaded Abductor/Adductor</x:v>
      </x:c>
      <x:c r="C633" s="41" t="str">
        <x:v>Strength</x:v>
      </x:c>
      <x:c r="D633" s="41" t="str">
        <x:v>Premier</x:v>
      </x:c>
      <x:c r="E633" s="41" t="str">
        <x:v>17</x:v>
      </x:c>
      <x:c r="F633" s="42" t="n">
        <x:v>3500</x:v>
      </x:c>
      <x:c r="G633" s="41" t="str">
        <x:v>Nos</x:v>
      </x:c>
      <x:c r="H633" s="41" t="n">
        <x:v>0</x:v>
      </x:c>
      <x:c r="I633" s="41" t="str">
        <x:v>17</x:v>
      </x:c>
      <x:c r="J633" s="41" t="str">
        <x:v>Yes</x:v>
      </x:c>
      <x:c r="K633" s="41" t="str">
        <x:v>Yes</x:v>
      </x:c>
    </x:row>
    <x:row r="634">
      <x:c r="A634" s="41" t="str">
        <x:v>APL17</x:v>
      </x:c>
      <x:c r="B634" s="41" t="str">
        <x:v>Horizontal ISO Chest Press</x:v>
      </x:c>
      <x:c r="C634" s="41" t="str">
        <x:v>Strength</x:v>
      </x:c>
      <x:c r="D634" s="41" t="str">
        <x:v>Premier</x:v>
      </x:c>
      <x:c r="E634" s="41" t="str">
        <x:v>17</x:v>
      </x:c>
      <x:c r="F634" s="42" t="n">
        <x:v>6410</x:v>
      </x:c>
      <x:c r="G634" s="41" t="str">
        <x:v>Nos</x:v>
      </x:c>
      <x:c r="H634" s="41" t="n">
        <x:v>0</x:v>
      </x:c>
      <x:c r="I634" s="41" t="str">
        <x:v>Dimension 1500x1200x450mm | Pipe Thickness 3mm
Net Weight 145 kg
10 years frame warranty</x:v>
      </x:c>
      <x:c r="J634" s="41" t="str">
        <x:v>Yes</x:v>
      </x:c>
      <x:c r="K634" s="41" t="str">
        <x:v>Yes</x:v>
      </x:c>
    </x:row>
    <x:row r="635">
      <x:c r="A635" s="41" t="str">
        <x:v>APL05</x:v>
      </x:c>
      <x:c r="B635" s="41" t="str">
        <x:v>Shoulder Press</x:v>
      </x:c>
      <x:c r="C635" s="41" t="str">
        <x:v>Strength</x:v>
      </x:c>
      <x:c r="D635" s="41" t="str">
        <x:v>Premier</x:v>
      </x:c>
      <x:c r="E635" s="41" t="str">
        <x:v>17</x:v>
      </x:c>
      <x:c r="F635" s="42" t="n">
        <x:v>4660</x:v>
      </x:c>
      <x:c r="G635" s="41" t="str">
        <x:v>Nos</x:v>
      </x:c>
      <x:c r="H635" s="41" t="n">
        <x:v>0</x:v>
      </x:c>
      <x:c r="I635" s="41" t="str">
        <x:v>Dimension 1110x1640x1420mm | Pipe Thickness 3mm
Net Weight 141 kg
10 years frame warranty</x:v>
      </x:c>
      <x:c r="J635" s="41" t="str">
        <x:v>Yes</x:v>
      </x:c>
      <x:c r="K635" s="41" t="str">
        <x:v>Yes</x:v>
      </x:c>
    </x:row>
    <x:row r="636">
      <x:c r="A636" s="41" t="str">
        <x:v>APL22</x:v>
      </x:c>
      <x:c r="B636" s="41" t="str">
        <x:v>Commercial Iso Nordic Curl</x:v>
      </x:c>
      <x:c r="C636" s="41" t="str">
        <x:v>Strength</x:v>
      </x:c>
      <x:c r="D636" s="41" t="str">
        <x:v>Premier</x:v>
      </x:c>
      <x:c r="E636" s="41" t="str">
        <x:v>17</x:v>
      </x:c>
      <x:c r="F636" s="42" t="n">
        <x:v>3500</x:v>
      </x:c>
      <x:c r="G636" s="41" t="str">
        <x:v>Nos</x:v>
      </x:c>
      <x:c r="H636" s="41" t="n">
        <x:v>0</x:v>
      </x:c>
      <x:c r="I636" s="41" t="str">
        <x:v>Dimension 1500x1950x1220mm | Pipe Thickness 3mm
Net Weight 76 Kg
10 Years Frame Warranty</x:v>
      </x:c>
      <x:c r="J636" s="41" t="str">
        <x:v>Yes</x:v>
      </x:c>
      <x:c r="K636" s="41" t="str">
        <x:v>Yes</x:v>
      </x:c>
    </x:row>
    <x:row r="637">
      <x:c r="A637" s="41" t="str">
        <x:v>APN20</x:v>
      </x:c>
      <x:c r="B637" s="41" t="str">
        <x:v>Leg Extension</x:v>
      </x:c>
      <x:c r="C637" s="41" t="str">
        <x:v>Strength</x:v>
      </x:c>
      <x:c r="D637" s="41" t="str">
        <x:v>Premier</x:v>
      </x:c>
      <x:c r="E637" s="41" t="str">
        <x:v>17</x:v>
      </x:c>
      <x:c r="F637" s="42" t="n">
        <x:v>6140</x:v>
      </x:c>
      <x:c r="G637" s="41" t="str">
        <x:v>Nos</x:v>
      </x:c>
      <x:c r="H637" s="41" t="n">
        <x:v>0</x:v>
      </x:c>
      <x:c r="I637" s="41" t="str">
        <x:v>Dimension 1580x1030x1620mm | Pipe Thickness 3mm
Weight Stack: 100 kg | Net Weight 248 kg
10 years frame warranty</x:v>
      </x:c>
      <x:c r="J637" s="41" t="str">
        <x:v>Yes</x:v>
      </x:c>
      <x:c r="K637" s="41" t="str">
        <x:v>Yes</x:v>
      </x:c>
    </x:row>
    <x:row r="638">
      <x:c r="A638" s="41" t="str">
        <x:v>APL01</x:v>
      </x:c>
      <x:c r="B638" s="41" t="str">
        <x:v>Smith Machine</x:v>
      </x:c>
      <x:c r="C638" s="41" t="str">
        <x:v>Strength</x:v>
      </x:c>
      <x:c r="D638" s="41" t="str">
        <x:v>Premier</x:v>
      </x:c>
      <x:c r="E638" s="41" t="str">
        <x:v>17</x:v>
      </x:c>
      <x:c r="F638" s="42" t="n">
        <x:v>6560</x:v>
      </x:c>
      <x:c r="G638" s="41" t="str">
        <x:v>Nos</x:v>
      </x:c>
      <x:c r="H638" s="41" t="n">
        <x:v>0</x:v>
      </x:c>
      <x:c r="I638" s="41" t="str">
        <x:v>Dimension 1420x2190x2210mm | Pipe Thickness 3mm
Net Weight 250 kg
10 years frame warranty</x:v>
      </x:c>
      <x:c r="J638" s="41" t="str">
        <x:v>Yes</x:v>
      </x:c>
      <x:c r="K638" s="41" t="str">
        <x:v>Yes</x:v>
      </x:c>
    </x:row>
    <x:row r="639">
      <x:c r="A639" s="41" t="str">
        <x:v>APN42</x:v>
      </x:c>
      <x:c r="B639" s="41" t="str">
        <x:v>5 Station</x:v>
      </x:c>
      <x:c r="C639" s="41" t="str">
        <x:v>Strength</x:v>
      </x:c>
      <x:c r="D639" s="41" t="str">
        <x:v>Premier</x:v>
      </x:c>
      <x:c r="E639" s="41" t="str">
        <x:v>17</x:v>
      </x:c>
      <x:c r="F639" s="42" t="n">
        <x:v>27150</x:v>
      </x:c>
      <x:c r="G639" s="41" t="str">
        <x:v>Nos</x:v>
      </x:c>
      <x:c r="H639" s="41" t="n">
        <x:v>0</x:v>
      </x:c>
      <x:c r="I639" s="41" t="str">
        <x:v>Pipe Thickness 3mm | Weight stack: 5*100KG
Net Weight 1438 kg
10 years frame warranty</x:v>
      </x:c>
      <x:c r="J639" s="41" t="str">
        <x:v>Yes</x:v>
      </x:c>
      <x:c r="K639" s="41" t="str">
        <x:v>Yes</x:v>
      </x:c>
    </x:row>
    <x:row r="640">
      <x:c r="A640" s="41" t="str">
        <x:v>APN37</x:v>
      </x:c>
      <x:c r="B640" s="41" t="str">
        <x:v>Functional Trainer &amp; Accessories</x:v>
      </x:c>
      <x:c r="C640" s="41" t="str">
        <x:v>Strength</x:v>
      </x:c>
      <x:c r="D640" s="41" t="str">
        <x:v>Premier</x:v>
      </x:c>
      <x:c r="E640" s="41" t="str">
        <x:v>17</x:v>
      </x:c>
      <x:c r="F640" s="42" t="n">
        <x:v>10070</x:v>
      </x:c>
      <x:c r="G640" s="41" t="str">
        <x:v>Nos</x:v>
      </x:c>
      <x:c r="H640" s="41" t="n">
        <x:v>0</x:v>
      </x:c>
      <x:c r="I640" s="41" t="str">
        <x:v>Weight stack: 2*90KG
Net Weight 446 kg
10 years frame warranty</x:v>
      </x:c>
      <x:c r="J640" s="41" t="str">
        <x:v>Yes</x:v>
      </x:c>
      <x:c r="K640" s="41" t="str">
        <x:v>Yes</x:v>
      </x:c>
    </x:row>
    <x:row r="641">
      <x:c r="A641" s="41" t="str">
        <x:v>APN39</x:v>
      </x:c>
      <x:c r="B641" s="41" t="str">
        <x:v>4 Station</x:v>
      </x:c>
      <x:c r="C641" s="41" t="str">
        <x:v>Strength</x:v>
      </x:c>
      <x:c r="D641" s="41" t="str">
        <x:v>Premier</x:v>
      </x:c>
      <x:c r="E641" s="41" t="str">
        <x:v>17</x:v>
      </x:c>
      <x:c r="F641" s="42" t="n">
        <x:v>18100</x:v>
      </x:c>
      <x:c r="G641" s="41" t="str">
        <x:v>Nos</x:v>
      </x:c>
      <x:c r="H641" s="41" t="n">
        <x:v>0</x:v>
      </x:c>
      <x:c r="I641" s="41" t="str">
        <x:v>Pipe Thickness 3mm | Weight stack: 4*100KG
Net Weight 822 kg
10 years frame warranty</x:v>
      </x:c>
      <x:c r="J641" s="41" t="str">
        <x:v>Yes</x:v>
      </x:c>
      <x:c r="K641" s="41" t="str">
        <x:v>Yes</x:v>
      </x:c>
    </x:row>
    <x:row r="642">
      <x:c r="A642" s="41" t="str">
        <x:v>APN36</x:v>
      </x:c>
      <x:c r="B642" s="41" t="str">
        <x:v>PT/POD Pulley System 235CM with lat seat</x:v>
      </x:c>
      <x:c r="C642" s="41" t="str">
        <x:v>Strength</x:v>
      </x:c>
      <x:c r="D642" s="41" t="str">
        <x:v>Premier</x:v>
      </x:c>
      <x:c r="E642" s="41" t="str">
        <x:v>17</x:v>
      </x:c>
      <x:c r="F642" s="42" t="n">
        <x:v>14420</x:v>
      </x:c>
      <x:c r="G642" s="41" t="str">
        <x:v>Nos</x:v>
      </x:c>
      <x:c r="H642" s="41" t="n">
        <x:v>0</x:v>
      </x:c>
      <x:c r="I642" s="41" t="str">
        <x:v>Dimension 3250*1500*2350mm | Pipe Thickness 3mm
Weight Stack: 90 kg | Net Weight 486 kg
10 years frame warranty</x:v>
      </x:c>
      <x:c r="J642" s="41" t="str">
        <x:v>Yes</x:v>
      </x:c>
      <x:c r="K642" s="41" t="str">
        <x:v>Yes</x:v>
      </x:c>
    </x:row>
    <x:row r="643">
      <x:c r="A643" s="41" t="str">
        <x:v>APN31</x:v>
      </x:c>
      <x:c r="B643" s="41" t="str">
        <x:v>Ultimate Pin Loaded Hip Thrust</x:v>
      </x:c>
      <x:c r="C643" s="41" t="str">
        <x:v>Strength</x:v>
      </x:c>
      <x:c r="D643" s="41" t="str">
        <x:v>Premier</x:v>
      </x:c>
      <x:c r="E643" s="41" t="str">
        <x:v>17</x:v>
      </x:c>
      <x:c r="F643" s="42" t="n">
        <x:v>6840</x:v>
      </x:c>
      <x:c r="G643" s="41" t="str">
        <x:v>Nos</x:v>
      </x:c>
      <x:c r="H643" s="41" t="n">
        <x:v>0</x:v>
      </x:c>
      <x:c r="I643" s="41" t="str">
        <x:v>Dimension 1790x1330x1680mm | Pipe Thickness 3mm
Weight Stack: 100 kg | Net Weight 281 kg
10 years frame warranty</x:v>
      </x:c>
      <x:c r="J643" s="41" t="str">
        <x:v>Yes</x:v>
      </x:c>
      <x:c r="K643" s="41" t="str">
        <x:v>Yes</x:v>
      </x:c>
    </x:row>
    <x:row r="644">
      <x:c r="A644" s="41" t="str">
        <x:v>APN22</x:v>
      </x:c>
      <x:c r="B644" s="41" t="str">
        <x:v>Back Machine</x:v>
      </x:c>
      <x:c r="C644" s="41" t="str">
        <x:v>Strength</x:v>
      </x:c>
      <x:c r="D644" s="41" t="str">
        <x:v>Premier</x:v>
      </x:c>
      <x:c r="E644" s="41" t="str">
        <x:v>17</x:v>
      </x:c>
      <x:c r="F644" s="42" t="n">
        <x:v>6140</x:v>
      </x:c>
      <x:c r="G644" s="41" t="str">
        <x:v>Nos</x:v>
      </x:c>
      <x:c r="H644" s="41" t="n">
        <x:v>0</x:v>
      </x:c>
      <x:c r="I644" s="41" t="str">
        <x:v>Dimension 1220x1060x1620mm | Pipe Thickness 3mm
Weight Stack: 100 kg | Net Weight 241 kg
10 years frame warranty</x:v>
      </x:c>
      <x:c r="J644" s="41" t="str">
        <x:v>Yes</x:v>
      </x:c>
      <x:c r="K644" s="41" t="str">
        <x:v>Yes</x:v>
      </x:c>
    </x:row>
    <x:row r="645">
      <x:c r="A645" s="41" t="str">
        <x:v>APN38</x:v>
      </x:c>
      <x:c r="B645" s="41" t="str">
        <x:v>Dual Cable</x:v>
      </x:c>
      <x:c r="C645" s="41" t="str">
        <x:v>Strength</x:v>
      </x:c>
      <x:c r="D645" s="41" t="str">
        <x:v>Premier</x:v>
      </x:c>
      <x:c r="E645" s="41" t="str">
        <x:v>17</x:v>
      </x:c>
      <x:c r="F645" s="42" t="n">
        <x:v>10410</x:v>
      </x:c>
      <x:c r="G645" s="41" t="str">
        <x:v>Nos</x:v>
      </x:c>
      <x:c r="H645" s="41" t="n">
        <x:v>0</x:v>
      </x:c>
      <x:c r="I645" s="41" t="str">
        <x:v>Dimension 1630X3270X2330mm | Pipe Thickness 3mm
Net Weight 380 kg
10 years frame warranty</x:v>
      </x:c>
      <x:c r="J645" s="41" t="str">
        <x:v>Yes</x:v>
      </x:c>
      <x:c r="K645" s="41" t="str">
        <x:v>Yes</x:v>
      </x:c>
    </x:row>
    <x:row r="646">
      <x:c r="A646" s="41" t="str">
        <x:v>APN43</x:v>
      </x:c>
      <x:c r="B646" s="41" t="str">
        <x:v>Rotary Torso</x:v>
      </x:c>
      <x:c r="C646" s="41" t="str">
        <x:v>Strength</x:v>
      </x:c>
      <x:c r="D646" s="41" t="str">
        <x:v>Premier</x:v>
      </x:c>
      <x:c r="E646" s="41" t="str">
        <x:v>17</x:v>
      </x:c>
      <x:c r="F646" s="42" t="n">
        <x:v>6140</x:v>
      </x:c>
      <x:c r="G646" s="41" t="str">
        <x:v>Nos</x:v>
      </x:c>
      <x:c r="H646" s="41" t="n">
        <x:v>0</x:v>
      </x:c>
      <x:c r="I646" s="41" t="str">
        <x:v>Dimension 1520x1100x1850mm | Pipe Thickness 3mm
Weight Stack: 100 kg | Net Weight 288 kg
10 years frame warranty</x:v>
      </x:c>
      <x:c r="J646" s="41" t="str">
        <x:v>Yes</x:v>
      </x:c>
      <x:c r="K646" s="41" t="str">
        <x:v>Yes</x:v>
      </x:c>
    </x:row>
    <x:row r="647">
      <x:c r="A647" s="41" t="str">
        <x:v>APN27</x:v>
      </x:c>
      <x:c r="B647" s="41" t="str">
        <x:v>Triceps Dip</x:v>
      </x:c>
      <x:c r="C647" s="41" t="str">
        <x:v>Strength</x:v>
      </x:c>
      <x:c r="D647" s="41" t="str">
        <x:v>Premier</x:v>
      </x:c>
      <x:c r="E647" s="41" t="str">
        <x:v>17</x:v>
      </x:c>
      <x:c r="F647" s="42" t="n">
        <x:v>6140</x:v>
      </x:c>
      <x:c r="G647" s="41" t="str">
        <x:v>Nos</x:v>
      </x:c>
      <x:c r="H647" s="41" t="n">
        <x:v>0</x:v>
      </x:c>
      <x:c r="I647" s="41" t="str">
        <x:v>Dimension 1680x1250x1620mm | Pipe Thickness 3mm
Weight Stack: 100 kg | Net Weight 252 kg
10 years frame warranty</x:v>
      </x:c>
      <x:c r="J647" s="41" t="str">
        <x:v>Yes</x:v>
      </x:c>
      <x:c r="K647" s="41" t="str">
        <x:v>Yes</x:v>
      </x:c>
    </x:row>
    <x:row r="648">
      <x:c r="A648" s="41" t="str">
        <x:v>APN32</x:v>
      </x:c>
      <x:c r="B648" s="41" t="str">
        <x:v>Ultimate Back Extension</x:v>
      </x:c>
      <x:c r="C648" s="41" t="str">
        <x:v>Strength</x:v>
      </x:c>
      <x:c r="D648" s="41" t="str">
        <x:v>Premier</x:v>
      </x:c>
      <x:c r="E648" s="41" t="str">
        <x:v>17</x:v>
      </x:c>
      <x:c r="F648" s="42" t="n">
        <x:v>6140</x:v>
      </x:c>
      <x:c r="G648" s="41" t="str">
        <x:v>Nos</x:v>
      </x:c>
      <x:c r="H648" s="41" t="n">
        <x:v>0</x:v>
      </x:c>
      <x:c r="I648" s="41" t="str">
        <x:v>Dimension 1320x1030x1620mm | Pipe Thickness 3mm
Weight Stack: 100 kg | Net Weight 274 kg
10 years frame warranty</x:v>
      </x:c>
      <x:c r="J648" s="41" t="str">
        <x:v>Yes</x:v>
      </x:c>
      <x:c r="K648" s="41" t="str">
        <x:v>Yes</x:v>
      </x:c>
    </x:row>
    <x:row r="649">
      <x:c r="A649" s="41" t="str">
        <x:v>APN30</x:v>
      </x:c>
      <x:c r="B649" s="41" t="str">
        <x:v>Total Abdominal</x:v>
      </x:c>
      <x:c r="C649" s="41" t="str">
        <x:v>Strength</x:v>
      </x:c>
      <x:c r="D649" s="41" t="str">
        <x:v>Premier</x:v>
      </x:c>
      <x:c r="E649" s="41" t="str">
        <x:v>17</x:v>
      </x:c>
      <x:c r="F649" s="42" t="n">
        <x:v>6140</x:v>
      </x:c>
      <x:c r="G649" s="41" t="str">
        <x:v>Nos</x:v>
      </x:c>
      <x:c r="H649" s="41" t="n">
        <x:v>0</x:v>
      </x:c>
      <x:c r="I649" s="41" t="str">
        <x:v>Dimension 1180x1050x1620mm | Pipe Thickness 3mm
Weight Stack: 100 kg | Net Weight 260 kg
10 years frame warranty</x:v>
      </x:c>
      <x:c r="J649" s="41" t="str">
        <x:v>Yes</x:v>
      </x:c>
      <x:c r="K649" s="41" t="str">
        <x:v>Yes</x:v>
      </x:c>
    </x:row>
    <x:row r="650">
      <x:c r="A650" s="41" t="str">
        <x:v>APN26</x:v>
      </x:c>
      <x:c r="B650" s="41" t="str">
        <x:v>Standing Multiflight</x:v>
      </x:c>
      <x:c r="C650" s="41" t="str">
        <x:v>Strength</x:v>
      </x:c>
      <x:c r="D650" s="41" t="str">
        <x:v>Premier</x:v>
      </x:c>
      <x:c r="E650" s="41" t="str">
        <x:v>17</x:v>
      </x:c>
      <x:c r="F650" s="42" t="n">
        <x:v>7070</x:v>
      </x:c>
      <x:c r="G650" s="41" t="str">
        <x:v>Nos</x:v>
      </x:c>
      <x:c r="H650" s="41" t="n">
        <x:v>0</x:v>
      </x:c>
      <x:c r="I650" s="41" t="str">
        <x:v>Dimension 700x1370x2030mm | Pipe Thickness 3mm
Weight Stack: 100 kg | Net Weight 315 kg
10 years frame warranty</x:v>
      </x:c>
      <x:c r="J650" s="41" t="str">
        <x:v>Yes</x:v>
      </x:c>
      <x:c r="K650" s="41" t="str">
        <x:v>Yes</x:v>
      </x:c>
    </x:row>
    <x:row r="651">
      <x:c r="A651" s="41" t="str">
        <x:v>APN35</x:v>
      </x:c>
      <x:c r="B651" s="41" t="str">
        <x:v>Chest Press</x:v>
      </x:c>
      <x:c r="C651" s="41" t="str">
        <x:v>Strength</x:v>
      </x:c>
      <x:c r="D651" s="41" t="str">
        <x:v>Premier</x:v>
      </x:c>
      <x:c r="E651" s="41" t="str">
        <x:v>17</x:v>
      </x:c>
      <x:c r="F651" s="42" t="n">
        <x:v>6470</x:v>
      </x:c>
      <x:c r="G651" s="41" t="str">
        <x:v>Nos</x:v>
      </x:c>
      <x:c r="H651" s="41" t="n">
        <x:v>0</x:v>
      </x:c>
      <x:c r="I651" s="41" t="str">
        <x:v>Dimension 990x1370x1620mm | Pipe Thickness 3mm
Weight Stack: 100 kg | Net Weight 274 kg
10 years frame warranty</x:v>
      </x:c>
      <x:c r="J651" s="41" t="str">
        <x:v>Yes</x:v>
      </x:c>
      <x:c r="K651" s="41" t="str">
        <x:v>Yes</x:v>
      </x:c>
    </x:row>
    <x:row r="652">
      <x:c r="A652" s="41" t="str">
        <x:v>APN25</x:v>
      </x:c>
      <x:c r="B652" s="41" t="str">
        <x:v>Glute Machine</x:v>
      </x:c>
      <x:c r="C652" s="41" t="str">
        <x:v>Strength</x:v>
      </x:c>
      <x:c r="D652" s="41" t="str">
        <x:v>Premier</x:v>
      </x:c>
      <x:c r="E652" s="41" t="str">
        <x:v>17</x:v>
      </x:c>
      <x:c r="F652" s="42" t="n">
        <x:v>6140</x:v>
      </x:c>
      <x:c r="G652" s="41" t="str">
        <x:v>Nos</x:v>
      </x:c>
      <x:c r="H652" s="41" t="n">
        <x:v>0</x:v>
      </x:c>
      <x:c r="I652" s="41" t="str">
        <x:v>Dimension 1120x1160x1620mm | Pipe Thickness 3mm
Weight Stack: 100 kg | Net Weight 242 kg
10 years frame warranty</x:v>
      </x:c>
      <x:c r="J652" s="41" t="str">
        <x:v>Yes</x:v>
      </x:c>
      <x:c r="K652" s="41" t="str">
        <x:v>Yes</x:v>
      </x:c>
    </x:row>
    <x:row r="653">
      <x:c r="A653" s="41" t="str">
        <x:v>APN41</x:v>
      </x:c>
      <x:c r="B653" s="41" t="str">
        <x:v>Cable Cross over with 2 Station</x:v>
      </x:c>
      <x:c r="C653" s="41" t="str">
        <x:v>Strength</x:v>
      </x:c>
      <x:c r="D653" s="41" t="str">
        <x:v>Premier</x:v>
      </x:c>
      <x:c r="E653" s="41" t="str">
        <x:v>17</x:v>
      </x:c>
      <x:c r="F653" s="42" t="n">
        <x:v>16400</x:v>
      </x:c>
      <x:c r="G653" s="41" t="str">
        <x:v>Nos</x:v>
      </x:c>
      <x:c r="H653" s="41" t="n">
        <x:v>0</x:v>
      </x:c>
      <x:c r="I653" s="41" t="str">
        <x:v>Pipe Thickness 3mm | Weight stack: 2*100KG
Net Weight 465 kg
10 years frame warranty</x:v>
      </x:c>
      <x:c r="J653" s="41" t="str">
        <x:v>Yes</x:v>
      </x:c>
      <x:c r="K653" s="41" t="str">
        <x:v>Yes</x:v>
      </x:c>
    </x:row>
    <x:row r="654">
      <x:c r="A654" s="41" t="str">
        <x:v>APN23</x:v>
      </x:c>
      <x:c r="B654" s="41" t="str">
        <x:v>Dual Abdominal And Back Extension</x:v>
      </x:c>
      <x:c r="C654" s="41" t="str">
        <x:v>Strength</x:v>
      </x:c>
      <x:c r="D654" s="41" t="str">
        <x:v>Premier</x:v>
      </x:c>
      <x:c r="E654" s="41" t="str">
        <x:v>17</x:v>
      </x:c>
      <x:c r="F654" s="42" t="n">
        <x:v>6470</x:v>
      </x:c>
      <x:c r="G654" s="41" t="str">
        <x:v>Nos</x:v>
      </x:c>
      <x:c r="H654" s="41" t="n">
        <x:v>0</x:v>
      </x:c>
      <x:c r="I654" s="41" t="str">
        <x:v>Dimension 1100x1190x1620mm | Pipe Thickness 3mm
Weight Stack: 100 kg | Net Weight 261 kg
10 years frame warranty</x:v>
      </x:c>
      <x:c r="J654" s="41" t="str">
        <x:v>Yes</x:v>
      </x:c>
      <x:c r="K654" s="41" t="str">
        <x:v>Yes</x:v>
      </x:c>
    </x:row>
    <x:row r="655">
      <x:c r="A655" s="41" t="str">
        <x:v>APN44</x:v>
      </x:c>
      <x:c r="B655" s="41" t="str">
        <x:v>Abdominal Machine</x:v>
      </x:c>
      <x:c r="C655" s="41" t="str">
        <x:v>Strength</x:v>
      </x:c>
      <x:c r="D655" s="41" t="str">
        <x:v>Premier</x:v>
      </x:c>
      <x:c r="E655" s="41" t="str">
        <x:v>17</x:v>
      </x:c>
      <x:c r="F655" s="42" t="n">
        <x:v>6140</x:v>
      </x:c>
      <x:c r="G655" s="41" t="str">
        <x:v>Nos</x:v>
      </x:c>
      <x:c r="H655" s="41" t="n">
        <x:v>0</x:v>
      </x:c>
      <x:c r="I655" s="41" t="str">
        <x:v>Dimension: 1330x990x1620mm | Pipe Thickness 3mm
Weight Stack: 100 kg | Net Weight 274 kg
10 years frame warranty</x:v>
      </x:c>
      <x:c r="J655" s="41" t="str">
        <x:v>Yes</x:v>
      </x:c>
      <x:c r="K655" s="41" t="str">
        <x:v>Yes</x:v>
      </x:c>
    </x:row>
    <x:row r="656">
      <x:c r="A656" s="41" t="str">
        <x:v>APN29</x:v>
      </x:c>
      <x:c r="B656" s="41" t="str">
        <x:v>Selectorised Hip Thrust</x:v>
      </x:c>
      <x:c r="C656" s="41" t="str">
        <x:v>Strength</x:v>
      </x:c>
      <x:c r="D656" s="41" t="str">
        <x:v>Premier</x:v>
      </x:c>
      <x:c r="E656" s="41" t="str">
        <x:v>17</x:v>
      </x:c>
      <x:c r="F656" s="42" t="n">
        <x:v>6140</x:v>
      </x:c>
      <x:c r="G656" s="41" t="str">
        <x:v>Nos</x:v>
      </x:c>
      <x:c r="H656" s="41" t="n">
        <x:v>0</x:v>
      </x:c>
      <x:c r="I656" s="41" t="str">
        <x:v>Dimension 2050x1010x1680mm | Pipe Thickness 3mm
Weight Stack: 100 kg | Net Weight 286 kg
10 years frame warranty</x:v>
      </x:c>
      <x:c r="J656" s="41" t="str">
        <x:v>Yes</x:v>
      </x:c>
      <x:c r="K656" s="41" t="str">
        <x:v>Yes</x:v>
      </x:c>
    </x:row>
    <x:row r="657">
      <x:c r="A657" s="41" t="str">
        <x:v>APL04</x:v>
      </x:c>
      <x:c r="B657" s="41" t="str">
        <x:v>Pull Down</x:v>
      </x:c>
      <x:c r="C657" s="41" t="str">
        <x:v>Strength</x:v>
      </x:c>
      <x:c r="D657" s="41" t="str">
        <x:v>Premier</x:v>
      </x:c>
      <x:c r="E657" s="41" t="str">
        <x:v>17</x:v>
      </x:c>
      <x:c r="F657" s="42" t="n">
        <x:v>4660</x:v>
      </x:c>
      <x:c r="G657" s="41" t="str">
        <x:v>Nos</x:v>
      </x:c>
      <x:c r="H657" s="41" t="n">
        <x:v>0</x:v>
      </x:c>
      <x:c r="I657" s="41" t="str">
        <x:v>Dimension 1600x1450x1980mm | Pipe Thickness 3mm
Net Weight 143 kg
10 years frame warranty</x:v>
      </x:c>
      <x:c r="J657" s="41" t="str">
        <x:v>Yes</x:v>
      </x:c>
      <x:c r="K657" s="41" t="str">
        <x:v>Yes</x:v>
      </x:c>
    </x:row>
    <x:row r="658">
      <x:c r="A658" s="41" t="str">
        <x:v>APN33</x:v>
      </x:c>
      <x:c r="B658" s="41" t="str">
        <x:v>Ultimate Standing Hip Thrust</x:v>
      </x:c>
      <x:c r="C658" s="41" t="str">
        <x:v>Strength</x:v>
      </x:c>
      <x:c r="D658" s="41" t="str">
        <x:v>Premier</x:v>
      </x:c>
      <x:c r="E658" s="41" t="str">
        <x:v>17</x:v>
      </x:c>
      <x:c r="F658" s="42" t="n">
        <x:v>6140</x:v>
      </x:c>
      <x:c r="G658" s="41" t="str">
        <x:v>Nos</x:v>
      </x:c>
      <x:c r="H658" s="41" t="n">
        <x:v>0</x:v>
      </x:c>
      <x:c r="I658" s="41" t="str">
        <x:v>Dimension 710x1310x1620mm | Pipe Thickness 3mm
Weight Stack: 100 kg | Net Weight 253 kg
10 years frame warranty</x:v>
      </x:c>
      <x:c r="J658" s="41" t="str">
        <x:v>Yes</x:v>
      </x:c>
      <x:c r="K658" s="41" t="str">
        <x:v>Yes</x:v>
      </x:c>
    </x:row>
    <x:row r="659">
      <x:c r="A659" s="41" t="str">
        <x:v>APN21</x:v>
      </x:c>
      <x:c r="B659" s="41" t="str">
        <x:v>Prone Leg Curl</x:v>
      </x:c>
      <x:c r="C659" s="41" t="str">
        <x:v>Strength</x:v>
      </x:c>
      <x:c r="D659" s="41" t="str">
        <x:v>Premier</x:v>
      </x:c>
      <x:c r="E659" s="41" t="str">
        <x:v>17</x:v>
      </x:c>
      <x:c r="F659" s="42" t="n">
        <x:v>6140</x:v>
      </x:c>
      <x:c r="G659" s="41" t="str">
        <x:v>Nos</x:v>
      </x:c>
      <x:c r="H659" s="41" t="n">
        <x:v>0</x:v>
      </x:c>
      <x:c r="I659" s="41" t="str">
        <x:v>Dimension 1580x1070x1620mm | Pipe Thickness 3mm
Weight Stack: 100 kg | Net Weight 235 kg
10 years frame warranty</x:v>
      </x:c>
      <x:c r="J659" s="41" t="str">
        <x:v>Yes</x:v>
      </x:c>
      <x:c r="K659" s="41" t="str">
        <x:v>Yes</x:v>
      </x:c>
    </x:row>
    <x:row r="660">
      <x:c r="A660" s="41" t="str">
        <x:v>APN18</x:v>
      </x:c>
      <x:c r="B660" s="41" t="str">
        <x:v>Biceps Curl</x:v>
      </x:c>
      <x:c r="C660" s="41" t="str">
        <x:v>Strength</x:v>
      </x:c>
      <x:c r="D660" s="41" t="str">
        <x:v>Premier</x:v>
      </x:c>
      <x:c r="E660" s="41" t="str">
        <x:v>17</x:v>
      </x:c>
      <x:c r="F660" s="42" t="n">
        <x:v>6140</x:v>
      </x:c>
      <x:c r="G660" s="41" t="str">
        <x:v>Nos</x:v>
      </x:c>
      <x:c r="H660" s="41" t="n">
        <x:v>0</x:v>
      </x:c>
      <x:c r="I660" s="41" t="str">
        <x:v>Dimension 1130x920x1620mm | Pipe Thickness 3mm
Weight Stack: 100 kg | Net Weight 212 kg
10 years frame warranty</x:v>
      </x:c>
      <x:c r="J660" s="41" t="str">
        <x:v>Yes</x:v>
      </x:c>
      <x:c r="K660" s="41" t="str">
        <x:v>Yes</x:v>
      </x:c>
    </x:row>
    <x:row r="661">
      <x:c r="A661" s="41" t="str">
        <x:v>APN17</x:v>
      </x:c>
      <x:c r="B661" s="41" t="str">
        <x:v>Lat Pulldown</x:v>
      </x:c>
      <x:c r="C661" s="41" t="str">
        <x:v>Strength</x:v>
      </x:c>
      <x:c r="D661" s="41" t="str">
        <x:v>Premier</x:v>
      </x:c>
      <x:c r="E661" s="41" t="str">
        <x:v>17</x:v>
      </x:c>
      <x:c r="F661" s="42" t="n">
        <x:v>6140</x:v>
      </x:c>
      <x:c r="G661" s="41" t="str">
        <x:v>Nos</x:v>
      </x:c>
      <x:c r="H661" s="41" t="n">
        <x:v>0</x:v>
      </x:c>
      <x:c r="I661" s="41" t="str">
        <x:v>Dimension 1320x1230x1620mm | Pipe Thickness 3mm
Weight Stack: 100 kg | Net Weight 233 kg
10 years frame warranty</x:v>
      </x:c>
      <x:c r="J661" s="41" t="str">
        <x:v>Yes</x:v>
      </x:c>
      <x:c r="K661" s="41" t="str">
        <x:v>Yes</x:v>
      </x:c>
    </x:row>
    <x:row r="662">
      <x:c r="A662" s="41" t="str">
        <x:v>APN34</x:v>
      </x:c>
      <x:c r="B662" s="41" t="str">
        <x:v>Ultimate Cable Kick Back</x:v>
      </x:c>
      <x:c r="C662" s="41" t="str">
        <x:v>Strength</x:v>
      </x:c>
      <x:c r="D662" s="41" t="str">
        <x:v>Premier</x:v>
      </x:c>
      <x:c r="E662" s="41" t="str">
        <x:v>17</x:v>
      </x:c>
      <x:c r="F662" s="42" t="n">
        <x:v>6140</x:v>
      </x:c>
      <x:c r="G662" s="41" t="str">
        <x:v>Nos</x:v>
      </x:c>
      <x:c r="H662" s="41" t="n">
        <x:v>0</x:v>
      </x:c>
      <x:c r="I662" s="41" t="str">
        <x:v>Dimension 1210x770x1620mm | Pipe Thickness 3mm
Weight Stack: 100 kg | Net Weight 259 kg
10 years frame warranty</x:v>
      </x:c>
      <x:c r="J662" s="41" t="str">
        <x:v>Yes</x:v>
      </x:c>
      <x:c r="K662" s="41" t="str">
        <x:v>Yes</x:v>
      </x:c>
    </x:row>
    <x:row r="663">
      <x:c r="A663" s="41" t="str">
        <x:v>APN28</x:v>
      </x:c>
      <x:c r="B663" s="41" t="str">
        <x:v>Standing Glute Kickback</x:v>
      </x:c>
      <x:c r="C663" s="41" t="str">
        <x:v>Strength</x:v>
      </x:c>
      <x:c r="D663" s="41" t="str">
        <x:v>Premier</x:v>
      </x:c>
      <x:c r="E663" s="41" t="str">
        <x:v>17</x:v>
      </x:c>
      <x:c r="F663" s="42" t="n">
        <x:v>6140</x:v>
      </x:c>
      <x:c r="G663" s="41" t="str">
        <x:v>Nos</x:v>
      </x:c>
      <x:c r="H663" s="41" t="n">
        <x:v>0</x:v>
      </x:c>
      <x:c r="I663" s="41" t="str">
        <x:v>Dimension 1890x990x1680mm | Pipe Thickness 3mm
Weight Stack: 100 kg | Net Weight 230 kg
10 years frame warranty</x:v>
      </x:c>
      <x:c r="J663" s="41" t="str">
        <x:v>Yes</x:v>
      </x:c>
      <x:c r="K663" s="41" t="str">
        <x:v>Yes</x:v>
      </x:c>
    </x:row>
    <x:row r="664">
      <x:c r="A664" s="41" t="str">
        <x:v>APN19</x:v>
      </x:c>
      <x:c r="B664" s="41" t="str">
        <x:v>Triceps Extension</x:v>
      </x:c>
      <x:c r="C664" s="41" t="str">
        <x:v>Strength</x:v>
      </x:c>
      <x:c r="D664" s="41" t="str">
        <x:v>Premier</x:v>
      </x:c>
      <x:c r="E664" s="41" t="str">
        <x:v>17</x:v>
      </x:c>
      <x:c r="F664" s="42" t="n">
        <x:v>6140</x:v>
      </x:c>
      <x:c r="G664" s="41" t="str">
        <x:v>Nos</x:v>
      </x:c>
      <x:c r="H664" s="41" t="n">
        <x:v>0</x:v>
      </x:c>
      <x:c r="I664" s="41" t="str">
        <x:v>Dimension 1340x830x1620mm | Pipe Thickness 3mm
Weight Stack: 100 kg | Net Weight 212 kg
10 years frame warranty</x:v>
      </x:c>
      <x:c r="J664" s="41" t="str">
        <x:v>Yes</x:v>
      </x:c>
      <x:c r="K664" s="41" t="str">
        <x:v>Yes</x:v>
      </x:c>
    </x:row>
    <x:row r="665">
      <x:c r="A665" s="41" t="str">
        <x:v>APL03</x:v>
      </x:c>
      <x:c r="B665" s="41" t="str">
        <x:v>Chest Press</x:v>
      </x:c>
      <x:c r="C665" s="41" t="str">
        <x:v>Strength</x:v>
      </x:c>
      <x:c r="D665" s="41" t="str">
        <x:v>Premier</x:v>
      </x:c>
      <x:c r="E665" s="41" t="str">
        <x:v>17</x:v>
      </x:c>
      <x:c r="F665" s="42" t="n">
        <x:v>4660</x:v>
      </x:c>
      <x:c r="G665" s="41" t="str">
        <x:v>Nos</x:v>
      </x:c>
      <x:c r="H665" s="41" t="n">
        <x:v>0</x:v>
      </x:c>
      <x:c r="I665" s="41" t="str">
        <x:v>Dimension 1010x1810x1770mm | Pipe Thickness 3mm
Net Weight 148 kg
10 years frame warranty</x:v>
      </x:c>
      <x:c r="J665" s="41" t="str">
        <x:v>Yes</x:v>
      </x:c>
      <x:c r="K665" s="41" t="str">
        <x:v>Yes</x:v>
      </x:c>
    </x:row>
    <x:row r="666">
      <x:c r="A666" s="41" t="str">
        <x:v>APL02</x:v>
      </x:c>
      <x:c r="B666" s="41" t="str">
        <x:v>Multi-Way Row</x:v>
      </x:c>
      <x:c r="C666" s="41" t="str">
        <x:v>Strength</x:v>
      </x:c>
      <x:c r="D666" s="41" t="str">
        <x:v>Premier</x:v>
      </x:c>
      <x:c r="E666" s="41" t="str">
        <x:v>17</x:v>
      </x:c>
      <x:c r="F666" s="42" t="n">
        <x:v>4800</x:v>
      </x:c>
      <x:c r="G666" s="41" t="str">
        <x:v>Nos</x:v>
      </x:c>
      <x:c r="H666" s="41" t="n">
        <x:v>0</x:v>
      </x:c>
      <x:c r="I666" s="41" t="str">
        <x:v>Dimension 1760x880x1180mm | Pipe Thickness 3mm
Net Weight 136 kg
10 years frame warranty</x:v>
      </x:c>
      <x:c r="J666" s="41" t="str">
        <x:v>Yes</x:v>
      </x:c>
      <x:c r="K666" s="41" t="str">
        <x:v>Yes</x:v>
      </x:c>
    </x:row>
    <x:row r="667">
      <x:c r="A667" s="41" t="str">
        <x:v>APN24</x:v>
      </x:c>
      <x:c r="B667" s="41" t="str">
        <x:v>Lateral Raise</x:v>
      </x:c>
      <x:c r="C667" s="41" t="str">
        <x:v>Strength</x:v>
      </x:c>
      <x:c r="D667" s="41" t="str">
        <x:v>Premier</x:v>
      </x:c>
      <x:c r="E667" s="41" t="str">
        <x:v>17</x:v>
      </x:c>
      <x:c r="F667" s="42" t="n">
        <x:v>6140</x:v>
      </x:c>
      <x:c r="G667" s="41" t="str">
        <x:v>Nos</x:v>
      </x:c>
      <x:c r="H667" s="41" t="n">
        <x:v>0</x:v>
      </x:c>
      <x:c r="I667" s="41" t="str">
        <x:v>Dimension 1020x1210x1620mm | Pipe Thickness 3mm
Weight Stack: 100 kg | Net Weight 239 kg
10 years frame warranty</x:v>
      </x:c>
      <x:c r="J667" s="41" t="str">
        <x:v>Yes</x:v>
      </x:c>
      <x:c r="K667" s="41" t="str">
        <x:v>Yes</x:v>
      </x:c>
    </x:row>
    <x:row r="668">
      <x:c r="A668" s="41" t="str">
        <x:v>APN40</x:v>
      </x:c>
      <x:c r="B668" s="41" t="str">
        <x:v>8 Station</x:v>
      </x:c>
      <x:c r="C668" s="41" t="str">
        <x:v>Strength</x:v>
      </x:c>
      <x:c r="D668" s="41" t="str">
        <x:v>Premier</x:v>
      </x:c>
      <x:c r="E668" s="41" t="str">
        <x:v>17</x:v>
      </x:c>
      <x:c r="F668" s="42" t="n">
        <x:v>37330</x:v>
      </x:c>
      <x:c r="G668" s="41" t="str">
        <x:v>Nos</x:v>
      </x:c>
      <x:c r="H668" s="41" t="n">
        <x:v>0</x:v>
      </x:c>
      <x:c r="I668" s="41" t="str">
        <x:v>Pipe Thickness 3mm | Weight stack: 8*100KG
Net Weight 1740 kg
10 years frame warranty</x:v>
      </x:c>
      <x:c r="J668" s="41" t="str">
        <x:v>Yes</x:v>
      </x:c>
      <x:c r="K668" s="41" t="str">
        <x:v>Yes</x:v>
      </x:c>
    </x:row>
    <x:row r="669">
      <x:c r="A669" s="41" t="str">
        <x:v>APN09</x:v>
      </x:c>
      <x:c r="B669" s="41" t="str">
        <x:v>Leg Press/Calf</x:v>
      </x:c>
      <x:c r="C669" s="41" t="str">
        <x:v>Strength</x:v>
      </x:c>
      <x:c r="D669" s="41" t="str">
        <x:v>Premier</x:v>
      </x:c>
      <x:c r="E669" s="41" t="str">
        <x:v>17</x:v>
      </x:c>
      <x:c r="F669" s="42" t="n">
        <x:v>6840</x:v>
      </x:c>
      <x:c r="G669" s="41" t="str">
        <x:v>Nos</x:v>
      </x:c>
      <x:c r="H669" s="41" t="n">
        <x:v>0</x:v>
      </x:c>
      <x:c r="I669" s="41" t="str">
        <x:v>Dimension 2050x1670x1670mm | Pipe Thickness 3mm
Weight Stack: 120 kg | Net Weight 366 kg
10 years frame warranty</x:v>
      </x:c>
      <x:c r="J669" s="41" t="str">
        <x:v>Yes</x:v>
      </x:c>
      <x:c r="K669" s="41" t="str">
        <x:v>Yes</x:v>
      </x:c>
    </x:row>
    <x:row r="670">
      <x:c r="A670" s="41" t="str">
        <x:v>APN07</x:v>
      </x:c>
      <x:c r="B670" s="41" t="str">
        <x:v>Biceps / Triceps Curl</x:v>
      </x:c>
      <x:c r="C670" s="41" t="str">
        <x:v>Strength</x:v>
      </x:c>
      <x:c r="D670" s="41" t="str">
        <x:v>Premier</x:v>
      </x:c>
      <x:c r="E670" s="41" t="str">
        <x:v>17</x:v>
      </x:c>
      <x:c r="F670" s="42" t="n">
        <x:v>6140</x:v>
      </x:c>
      <x:c r="G670" s="41" t="str">
        <x:v>Nos</x:v>
      </x:c>
      <x:c r="H670" s="41" t="n">
        <x:v>0</x:v>
      </x:c>
      <x:c r="I670" s="41" t="str">
        <x:v>Dimension 1100x1160x1620mm | Pipe Thickness 3mm
Weight Stack: 100 kg | Net Weight 212 kg
10 years frame warranty</x:v>
      </x:c>
      <x:c r="J670" s="41" t="str">
        <x:v>Yes</x:v>
      </x:c>
      <x:c r="K670" s="41" t="str">
        <x:v>Yes</x:v>
      </x:c>
    </x:row>
    <x:row r="671">
      <x:c r="A671" s="41" t="str">
        <x:v>APN14</x:v>
      </x:c>
      <x:c r="B671" s="41" t="str">
        <x:v>Seated Chest Press</x:v>
      </x:c>
      <x:c r="C671" s="41" t="str">
        <x:v>Strength</x:v>
      </x:c>
      <x:c r="D671" s="41" t="str">
        <x:v>Premier</x:v>
      </x:c>
      <x:c r="E671" s="41" t="str">
        <x:v>17</x:v>
      </x:c>
      <x:c r="F671" s="42" t="n">
        <x:v>6140</x:v>
      </x:c>
      <x:c r="G671" s="41" t="str">
        <x:v>Nos</x:v>
      </x:c>
      <x:c r="H671" s="41" t="n">
        <x:v>0</x:v>
      </x:c>
      <x:c r="I671" s="41" t="str">
        <x:v>Dimension 1130x1270x1620mm | Pipe Thickness 3mm
Weight Stack: 100 kg | Net Weight 242 kg
10 years frame warranty</x:v>
      </x:c>
      <x:c r="J671" s="41" t="str">
        <x:v>Yes</x:v>
      </x:c>
      <x:c r="K671" s="41" t="str">
        <x:v>Yes</x:v>
      </x:c>
    </x:row>
    <x:row r="672">
      <x:c r="A672" s="41" t="str">
        <x:v>APN11</x:v>
      </x:c>
      <x:c r="B672" s="41" t="str">
        <x:v>Seated Horizontal Pully</x:v>
      </x:c>
      <x:c r="C672" s="41" t="str">
        <x:v>Strength</x:v>
      </x:c>
      <x:c r="D672" s="41" t="str">
        <x:v>Premier</x:v>
      </x:c>
      <x:c r="E672" s="41" t="str">
        <x:v>17</x:v>
      </x:c>
      <x:c r="F672" s="42" t="n">
        <x:v>6140</x:v>
      </x:c>
      <x:c r="G672" s="41" t="str">
        <x:v>Nos</x:v>
      </x:c>
      <x:c r="H672" s="41" t="n">
        <x:v>0</x:v>
      </x:c>
      <x:c r="I672" s="41" t="str">
        <x:v>Dimension 1520x1120x1720mm | Pipe Thickness 3mm
Weight Stack: 100 kg | Net Weight 230 kg
10 years frame warranty</x:v>
      </x:c>
      <x:c r="J672" s="41" t="str">
        <x:v>Yes</x:v>
      </x:c>
      <x:c r="K672" s="41" t="str">
        <x:v>Yes</x:v>
      </x:c>
    </x:row>
    <x:row r="673">
      <x:c r="A673" s="41" t="str">
        <x:v>APN10</x:v>
      </x:c>
      <x:c r="B673" s="41" t="str">
        <x:v>Dip/Chin Assist</x:v>
      </x:c>
      <x:c r="C673" s="41" t="str">
        <x:v>Strength</x:v>
      </x:c>
      <x:c r="D673" s="41" t="str">
        <x:v>Premier</x:v>
      </x:c>
      <x:c r="E673" s="41" t="str">
        <x:v>17</x:v>
      </x:c>
      <x:c r="F673" s="42" t="n">
        <x:v>6360</x:v>
      </x:c>
      <x:c r="G673" s="41" t="str">
        <x:v>Nos</x:v>
      </x:c>
      <x:c r="H673" s="41" t="n">
        <x:v>0</x:v>
      </x:c>
      <x:c r="I673" s="41" t="str">
        <x:v>Dimension 1420x1000x2270mm | Pipe Thickness 3mm
Weight Stack: 100 kg | Net Weight 300 kg
10 years frame warranty</x:v>
      </x:c>
      <x:c r="J673" s="41" t="str">
        <x:v>Yes</x:v>
      </x:c>
      <x:c r="K673" s="41" t="str">
        <x:v>Yes</x:v>
      </x:c>
    </x:row>
    <x:row r="674">
      <x:c r="A674" s="41" t="str">
        <x:v>APN06</x:v>
      </x:c>
      <x:c r="B674" s="41" t="str">
        <x:v>Pectoral Fly/ Rear Deltoid</x:v>
      </x:c>
      <x:c r="C674" s="41" t="str">
        <x:v>Strength</x:v>
      </x:c>
      <x:c r="D674" s="41" t="str">
        <x:v>Premier</x:v>
      </x:c>
      <x:c r="E674" s="41" t="str">
        <x:v>17</x:v>
      </x:c>
      <x:c r="F674" s="42" t="n">
        <x:v>6140</x:v>
      </x:c>
      <x:c r="G674" s="41" t="str">
        <x:v>Nos</x:v>
      </x:c>
      <x:c r="H674" s="41" t="n">
        <x:v>0</x:v>
      </x:c>
      <x:c r="I674" s="41" t="str">
        <x:v>Dimension 1570x1310x2010mm | Pipe Thickness 3mm
Weight Stack: 100 kg | Net Weight 290 kg
10 years frame warranty</x:v>
      </x:c>
      <x:c r="J674" s="41" t="str">
        <x:v>Yes</x:v>
      </x:c>
      <x:c r="K674" s="41" t="str">
        <x:v>Yes</x:v>
      </x:c>
    </x:row>
    <x:row r="675">
      <x:c r="A675" s="41" t="str">
        <x:v>APN15</x:v>
      </x:c>
      <x:c r="B675" s="41" t="str">
        <x:v>Seated Row</x:v>
      </x:c>
      <x:c r="C675" s="41" t="str">
        <x:v>Strength</x:v>
      </x:c>
      <x:c r="D675" s="41" t="str">
        <x:v>Premier</x:v>
      </x:c>
      <x:c r="E675" s="41" t="str">
        <x:v>17</x:v>
      </x:c>
      <x:c r="F675" s="42" t="n">
        <x:v>6140</x:v>
      </x:c>
      <x:c r="G675" s="41" t="str">
        <x:v>Nos</x:v>
      </x:c>
      <x:c r="H675" s="41" t="n">
        <x:v>0</x:v>
      </x:c>
      <x:c r="I675" s="41" t="str">
        <x:v>Dimension 1720x1050x1620mm | Pipe Thickness 3mm
Weight Stack: 100 kg | Net Weight 241 kg
10 years frame warranty</x:v>
      </x:c>
      <x:c r="J675" s="41" t="str">
        <x:v>Yes</x:v>
      </x:c>
      <x:c r="K675" s="41" t="str">
        <x:v>Yes</x:v>
      </x:c>
    </x:row>
    <x:row r="676">
      <x:c r="A676" s="41" t="str">
        <x:v>APN08</x:v>
      </x:c>
      <x:c r="B676" s="41" t="str">
        <x:v>Leg Press/Calf</x:v>
      </x:c>
      <x:c r="C676" s="41" t="str">
        <x:v>Strength</x:v>
      </x:c>
      <x:c r="D676" s="41" t="str">
        <x:v>Premier</x:v>
      </x:c>
      <x:c r="E676" s="41" t="str">
        <x:v>17</x:v>
      </x:c>
      <x:c r="F676" s="42" t="n">
        <x:v>6470</x:v>
      </x:c>
      <x:c r="G676" s="41" t="str">
        <x:v>Nos</x:v>
      </x:c>
      <x:c r="H676" s="41" t="n">
        <x:v>0</x:v>
      </x:c>
      <x:c r="I676" s="41" t="str">
        <x:v>Dimension 2050x1070x1850mm | Pipe Thickness 3mm
Weight Stack: 120 kg | Net Weight 315 kg
10 years frame warranty</x:v>
      </x:c>
      <x:c r="J676" s="41" t="str">
        <x:v>Yes</x:v>
      </x:c>
      <x:c r="K676" s="41" t="str">
        <x:v>Yes</x:v>
      </x:c>
    </x:row>
    <x:row r="677">
      <x:c r="A677" s="41" t="str">
        <x:v>APN04</x:v>
      </x:c>
      <x:c r="B677" s="41" t="str">
        <x:v>Multi Press</x:v>
      </x:c>
      <x:c r="C677" s="41" t="str">
        <x:v>Strength</x:v>
      </x:c>
      <x:c r="D677" s="41" t="str">
        <x:v>Premier</x:v>
      </x:c>
      <x:c r="E677" s="41" t="str">
        <x:v>17</x:v>
      </x:c>
      <x:c r="F677" s="42" t="n">
        <x:v>6140</x:v>
      </x:c>
      <x:c r="G677" s="41" t="str">
        <x:v>Nos</x:v>
      </x:c>
      <x:c r="H677" s="41" t="n">
        <x:v>0</x:v>
      </x:c>
      <x:c r="I677" s="41" t="str">
        <x:v>Dimension 1840x1330x1620mm | Pipe Thickness 3mm
Weight Stack: 100 kg | Net Weight 308 kg
10 years frame warranty</x:v>
      </x:c>
      <x:c r="J677" s="41" t="str">
        <x:v>Yes</x:v>
      </x:c>
      <x:c r="K677" s="41" t="str">
        <x:v>Yes</x:v>
      </x:c>
    </x:row>
    <x:row r="678">
      <x:c r="A678" s="41" t="str">
        <x:v>APN13</x:v>
      </x:c>
      <x:c r="B678" s="41" t="str">
        <x:v>Multi Hip</x:v>
      </x:c>
      <x:c r="C678" s="41" t="str">
        <x:v>Strength</x:v>
      </x:c>
      <x:c r="D678" s="41" t="str">
        <x:v>Premier</x:v>
      </x:c>
      <x:c r="E678" s="41" t="str">
        <x:v>17</x:v>
      </x:c>
      <x:c r="F678" s="42" t="n">
        <x:v>6140</x:v>
      </x:c>
      <x:c r="G678" s="41" t="str">
        <x:v>Nos</x:v>
      </x:c>
      <x:c r="H678" s="41" t="n">
        <x:v>0</x:v>
      </x:c>
      <x:c r="I678" s="41" t="str">
        <x:v>Dimension 900x1360x1620mm | Pipe Thickness 3mm
Weight Stack: 100 kg | Net Weight 225 kg
10 years frame warranty</x:v>
      </x:c>
      <x:c r="J678" s="41" t="str">
        <x:v>Yes</x:v>
      </x:c>
      <x:c r="K678" s="41" t="str">
        <x:v>Yes</x:v>
      </x:c>
    </x:row>
    <x:row r="679">
      <x:c r="A679" s="41" t="str">
        <x:v>APN02</x:v>
      </x:c>
      <x:c r="B679" s="41" t="str">
        <x:v>Leg Extension/ Prone Leg Curl</x:v>
      </x:c>
      <x:c r="C679" s="41" t="str">
        <x:v>Strength</x:v>
      </x:c>
      <x:c r="D679" s="41" t="str">
        <x:v>Premier</x:v>
      </x:c>
      <x:c r="E679" s="41" t="str">
        <x:v>17</x:v>
      </x:c>
      <x:c r="F679" s="42" t="n">
        <x:v>6140</x:v>
      </x:c>
      <x:c r="G679" s="41" t="str">
        <x:v>Nos</x:v>
      </x:c>
      <x:c r="H679" s="41" t="n">
        <x:v>0</x:v>
      </x:c>
      <x:c r="I679" s="41" t="str">
        <x:v>Dimension 1660x1050x1620mm | Pipe Thickness 3mm
Weight Stack: 100 kg | Net Weight 278 kg
10 years frame warranty</x:v>
      </x:c>
      <x:c r="J679" s="41" t="str">
        <x:v>Yes</x:v>
      </x:c>
      <x:c r="K679" s="41" t="str">
        <x:v>Yes</x:v>
      </x:c>
    </x:row>
    <x:row r="680">
      <x:c r="A680" s="41" t="str">
        <x:v>APN05-A</x:v>
      </x:c>
      <x:c r="B680" s="41" t="str">
        <x:v>Latpull Down</x:v>
      </x:c>
      <x:c r="C680" s="41" t="str">
        <x:v>Strength</x:v>
      </x:c>
      <x:c r="D680" s="41" t="str">
        <x:v>Premier</x:v>
      </x:c>
      <x:c r="E680" s="41" t="str">
        <x:v>17</x:v>
      </x:c>
      <x:c r="F680" s="42" t="n">
        <x:v>6140</x:v>
      </x:c>
      <x:c r="G680" s="41" t="str">
        <x:v>Nos</x:v>
      </x:c>
      <x:c r="H680" s="41" t="n">
        <x:v>0</x:v>
      </x:c>
      <x:c r="I680" s="41" t="str">
        <x:v>Dimension: 2040x1130x2180mm | Pipe Thickness 3mm
Weight Stack: 100 kg | Net Weight 240 kg
10 years frame warranty</x:v>
      </x:c>
      <x:c r="J680" s="41" t="str">
        <x:v>Yes</x:v>
      </x:c>
      <x:c r="K680" s="41" t="str">
        <x:v>Yes</x:v>
      </x:c>
    </x:row>
    <x:row r="681">
      <x:c r="A681" s="41" t="str">
        <x:v>APN03</x:v>
      </x:c>
      <x:c r="B681" s="41" t="str">
        <x:v>Seated Leg Extension / Curl</x:v>
      </x:c>
      <x:c r="C681" s="41" t="str">
        <x:v>Strength</x:v>
      </x:c>
      <x:c r="D681" s="41" t="str">
        <x:v>Premier</x:v>
      </x:c>
      <x:c r="E681" s="41" t="str">
        <x:v>17</x:v>
      </x:c>
      <x:c r="F681" s="42" t="n">
        <x:v>6470</x:v>
      </x:c>
      <x:c r="G681" s="41" t="str">
        <x:v>Nos</x:v>
      </x:c>
      <x:c r="H681" s="41" t="n">
        <x:v>0</x:v>
      </x:c>
      <x:c r="I681" s="41" t="str">
        <x:v>Dimension 1560x1150x1620mm | Pipe Thickness 3mm
Weight Stack: 100 kg | Net Weight 308 kg
10 years frame warranty</x:v>
      </x:c>
      <x:c r="J681" s="41" t="str">
        <x:v>Yes</x:v>
      </x:c>
      <x:c r="K681" s="41" t="str">
        <x:v>Yes</x:v>
      </x:c>
    </x:row>
    <x:row r="682">
      <x:c r="A682" s="41" t="str">
        <x:v>APN05</x:v>
      </x:c>
      <x:c r="B682" s="41" t="str">
        <x:v>Latpull Down/Low Row</x:v>
      </x:c>
      <x:c r="C682" s="41" t="str">
        <x:v>Strength</x:v>
      </x:c>
      <x:c r="D682" s="41" t="str">
        <x:v>Premier</x:v>
      </x:c>
      <x:c r="E682" s="41" t="str">
        <x:v>17</x:v>
      </x:c>
      <x:c r="F682" s="42" t="n">
        <x:v>6140</x:v>
      </x:c>
      <x:c r="G682" s="41" t="str">
        <x:v>Nos</x:v>
      </x:c>
      <x:c r="H682" s="41" t="n">
        <x:v>0</x:v>
      </x:c>
      <x:c r="I682" s="41" t="str">
        <x:v>Dimension 2040x1200x2180mm | Pipe Thickness 3mm
Weight Stack: 100 kg | Net Weight 279 kg
10 years frame warranty</x:v>
      </x:c>
      <x:c r="J682" s="41" t="str">
        <x:v>Yes</x:v>
      </x:c>
      <x:c r="K682" s="41" t="str">
        <x:v>Yes</x:v>
      </x:c>
    </x:row>
    <x:row r="683">
      <x:c r="A683" s="41" t="str">
        <x:v>APN16</x:v>
      </x:c>
      <x:c r="B683" s="41" t="str">
        <x:v>Shoulder Press</x:v>
      </x:c>
      <x:c r="C683" s="41" t="str">
        <x:v>Strength</x:v>
      </x:c>
      <x:c r="D683" s="41" t="str">
        <x:v>Premier</x:v>
      </x:c>
      <x:c r="E683" s="41" t="str">
        <x:v>17</x:v>
      </x:c>
      <x:c r="F683" s="42" t="n">
        <x:v>6140</x:v>
      </x:c>
      <x:c r="G683" s="41" t="str">
        <x:v>Nos</x:v>
      </x:c>
      <x:c r="H683" s="41" t="n">
        <x:v>0</x:v>
      </x:c>
      <x:c r="I683" s="41" t="str">
        <x:v>Dimension 1480x125x1620mm | Pipe Thickness 3mm
Weight Stack: 100 kg | Net Weight 248 kg
10 years frame warranty</x:v>
      </x:c>
      <x:c r="J683" s="41" t="str">
        <x:v>Yes</x:v>
      </x:c>
      <x:c r="K683" s="41" t="str">
        <x:v>Yes</x:v>
      </x:c>
    </x:row>
    <x:row r="684">
      <x:c r="A684" s="41" t="str">
        <x:v>APN05-B</x:v>
      </x:c>
      <x:c r="B684" s="41" t="str">
        <x:v>Seated Row</x:v>
      </x:c>
      <x:c r="C684" s="41" t="str">
        <x:v>Strength</x:v>
      </x:c>
      <x:c r="D684" s="41" t="str">
        <x:v>Premier</x:v>
      </x:c>
      <x:c r="E684" s="41" t="str">
        <x:v>17</x:v>
      </x:c>
      <x:c r="F684" s="42" t="n">
        <x:v>6140</x:v>
      </x:c>
      <x:c r="G684" s="41" t="str">
        <x:v>Nos</x:v>
      </x:c>
      <x:c r="H684" s="41" t="n">
        <x:v>0</x:v>
      </x:c>
      <x:c r="I684" s="41" t="str">
        <x:v>Dimension: 1540x890x2180mm | Pipe Thickness 3mm
Weight Stack: 100 kg | Net Weight 240 kg
10 years frame warranty</x:v>
      </x:c>
      <x:c r="J684" s="41" t="str">
        <x:v>Yes</x:v>
      </x:c>
      <x:c r="K684" s="41" t="str">
        <x:v>Yes</x:v>
      </x:c>
    </x:row>
    <x:row r="685">
      <x:c r="A685" s="41" t="str">
        <x:v>APN12</x:v>
      </x:c>
      <x:c r="B685" s="41" t="str">
        <x:v>Calf Machine</x:v>
      </x:c>
      <x:c r="C685" s="41" t="str">
        <x:v>Strength</x:v>
      </x:c>
      <x:c r="D685" s="41" t="str">
        <x:v>Premier</x:v>
      </x:c>
      <x:c r="E685" s="41" t="str">
        <x:v>17</x:v>
      </x:c>
      <x:c r="F685" s="42" t="n">
        <x:v>6140</x:v>
      </x:c>
      <x:c r="G685" s="41" t="str">
        <x:v>Nos</x:v>
      </x:c>
      <x:c r="H685" s="41" t="n">
        <x:v>0</x:v>
      </x:c>
      <x:c r="I685" s="41" t="str">
        <x:v>Dimension 1090x1110x1620mm | Pipe Thickness 3mm
Weight Stack: 100 kg | Net Weight 259 kg
10 years frame warranty</x:v>
      </x:c>
      <x:c r="J685" s="41" t="str">
        <x:v>Yes</x:v>
      </x:c>
      <x:c r="K685" s="41" t="str">
        <x:v>Yes</x:v>
      </x:c>
    </x:row>
    <x:row r="686">
      <x:c r="A686" s="41" t="str">
        <x:v>APN03-A</x:v>
      </x:c>
      <x:c r="B686" s="41" t="str">
        <x:v>Seated Leg Curl</x:v>
      </x:c>
      <x:c r="C686" s="41" t="str">
        <x:v>Strength</x:v>
      </x:c>
      <x:c r="D686" s="41" t="str">
        <x:v>Premier</x:v>
      </x:c>
      <x:c r="E686" s="41" t="str">
        <x:v>17</x:v>
      </x:c>
      <x:c r="F686" s="42" t="n">
        <x:v>6140</x:v>
      </x:c>
      <x:c r="G686" s="41" t="str">
        <x:v>Nos</x:v>
      </x:c>
      <x:c r="H686" s="41" t="n">
        <x:v>0</x:v>
      </x:c>
      <x:c r="I686" s="41" t="str">
        <x:v>Dimension: 1560x1150x1620mm | Pipe Thickness 3mm
Weight Stack: 100 kg | Net Weight 308 kg
10 years frame warranty</x:v>
      </x:c>
      <x:c r="J686" s="41" t="str">
        <x:v>Yes</x:v>
      </x:c>
      <x:c r="K686" s="41" t="str">
        <x:v>Yes</x:v>
      </x:c>
    </x:row>
    <x:row r="687">
      <x:c r="A687" s="41" t="str">
        <x:v>APN01</x:v>
      </x:c>
      <x:c r="B687" s="41" t="str">
        <x:v>Adductor / Abductor</x:v>
      </x:c>
      <x:c r="C687" s="41" t="str">
        <x:v>Strength</x:v>
      </x:c>
      <x:c r="D687" s="41" t="str">
        <x:v>Premier</x:v>
      </x:c>
      <x:c r="E687" s="41" t="str">
        <x:v>17</x:v>
      </x:c>
      <x:c r="F687" s="42" t="n">
        <x:v>6140</x:v>
      </x:c>
      <x:c r="G687" s="41" t="str">
        <x:v>Nos</x:v>
      </x:c>
      <x:c r="H687" s="41" t="n">
        <x:v>0</x:v>
      </x:c>
      <x:c r="I687" s="41" t="str">
        <x:v>Dimension 1680x1710x1620mm | Pipe Thickness 3mm
Weight Stack: 100 kg | Net Weight 252 kg
10 years frame warranty</x:v>
      </x:c>
      <x:c r="J687" s="41" t="str">
        <x:v>Yes</x:v>
      </x:c>
      <x:c r="K687" s="41" t="str">
        <x:v>Yes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276c838f1f944c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4" hidden="0" customWidth="1"/>
    <x:col min="5" max="5" width="16" hidden="0" customWidth="1"/>
    <x:col min="6" max="6" width="50" hidden="0" customWidth="1"/>
  </x:cols>
  <x:sheetData>
    <x:row r="1">
      <x:c r="A1" s="5" t="str">
        <x:v>Automation verification — current catalog prices</x:v>
      </x:c>
      <x:c r="B1" s="5"/>
      <x:c r="C1" s="5"/>
      <x:c r="D1" s="5"/>
      <x:c r="E1" s="5"/>
      <x:c r="F1" s="5"/>
    </x:row>
    <x:row r="2">
      <x:c r="A2" s="40"/>
      <x:c r="B2" s="40"/>
      <x:c r="C2" s="40"/>
      <x:c r="D2" s="40"/>
      <x:c r="E2" s="40"/>
      <x:c r="F2" s="40"/>
    </x:row>
    <x:row r="3">
      <x:c r="A3" s="20" t="str">
        <x:v>Profile ID</x:v>
      </x:c>
      <x:c r="B3" s="20" t="str">
        <x:v>Expected Total incl VAT</x:v>
      </x:c>
      <x:c r="C3" s="20" t="str">
        <x:v>Budget Min</x:v>
      </x:c>
      <x:c r="D3" s="20" t="str">
        <x:v>Budget Max</x:v>
      </x:c>
      <x:c r="E3" s="20" t="str">
        <x:v>Expected Status</x:v>
      </x:c>
      <x:c r="F3" s="20" t="str">
        <x:v>Notes</x:v>
      </x:c>
    </x:row>
    <x:row r="4">
      <x:c r="A4" s="41" t="str">
        <x:v>PREM-250-299</x:v>
      </x:c>
      <x:c r="B4" s="42" t="n">
        <x:v>285946.5</x:v>
      </x:c>
      <x:c r="C4" s="42" t="n">
        <x:v>250000</x:v>
      </x:c>
      <x:c r="D4" s="42" t="n">
        <x:v>299999</x:v>
      </x:c>
      <x:c r="E4" s="41" t="str">
        <x:v>WITHIN RANGE</x:v>
      </x:c>
      <x:c r="F4" s="41" t="str">
        <x:v>Static cross-check generated from current product price snapshot.</x:v>
      </x:c>
    </x:row>
    <x:row r="5">
      <x:c r="A5" s="41" t="str">
        <x:v>PREM-300-399</x:v>
      </x:c>
      <x:c r="B5" s="42" t="n">
        <x:v>350416.5</x:v>
      </x:c>
      <x:c r="C5" s="42" t="n">
        <x:v>300000</x:v>
      </x:c>
      <x:c r="D5" s="42" t="n">
        <x:v>399999</x:v>
      </x:c>
      <x:c r="E5" s="41" t="str">
        <x:v>WITHIN RANGE</x:v>
      </x:c>
      <x:c r="F5" s="41" t="str">
        <x:v>Static cross-check generated from current product price snapshot.</x:v>
      </x:c>
    </x:row>
    <x:row r="6">
      <x:c r="A6" s="41" t="str">
        <x:v>PREM-400-500</x:v>
      </x:c>
      <x:c r="B6" s="42" t="n">
        <x:v>458713.5</x:v>
      </x:c>
      <x:c r="C6" s="42" t="n">
        <x:v>400000</x:v>
      </x:c>
      <x:c r="D6" s="42" t="n">
        <x:v>500000</x:v>
      </x:c>
      <x:c r="E6" s="41" t="str">
        <x:v>WITHIN RANGE</x:v>
      </x:c>
      <x:c r="F6" s="41" t="str">
        <x:v>Static cross-check generated from current product price snapshot.</x:v>
      </x:c>
    </x:row>
    <x:row r="7">
      <x:c r="A7" s="41" t="str">
        <x:v>BURN-350-449</x:v>
      </x:c>
      <x:c r="B7" s="42" t="n">
        <x:v>439315.38</x:v>
      </x:c>
      <x:c r="C7" s="42" t="n">
        <x:v>350000</x:v>
      </x:c>
      <x:c r="D7" s="42" t="n">
        <x:v>449999</x:v>
      </x:c>
      <x:c r="E7" s="41" t="str">
        <x:v>WITHIN RANGE</x:v>
      </x:c>
      <x:c r="F7" s="41" t="str">
        <x:v>Static cross-check generated from current product price snapshot.</x:v>
      </x:c>
    </x:row>
    <x:row r="8">
      <x:c r="A8" s="41" t="str">
        <x:v>BURN-450-549</x:v>
      </x:c>
      <x:c r="B8" s="42" t="n">
        <x:v>544803</x:v>
      </x:c>
      <x:c r="C8" s="42" t="n">
        <x:v>450000</x:v>
      </x:c>
      <x:c r="D8" s="42" t="n">
        <x:v>549999</x:v>
      </x:c>
      <x:c r="E8" s="41" t="str">
        <x:v>WITHIN RANGE</x:v>
      </x:c>
      <x:c r="F8" s="41" t="str">
        <x:v>Static cross-check generated from current product price snapshot.</x:v>
      </x:c>
    </x:row>
    <x:row r="9">
      <x:c r="A9" s="41" t="str">
        <x:v>BURN-550-700</x:v>
      </x:c>
      <x:c r="B9" s="42" t="n">
        <x:v>653864.4</x:v>
      </x:c>
      <x:c r="C9" s="42" t="n">
        <x:v>550000</x:v>
      </x:c>
      <x:c r="D9" s="42" t="n">
        <x:v>700000</x:v>
      </x:c>
      <x:c r="E9" s="41" t="str">
        <x:v>WITHIN RANGE</x:v>
      </x:c>
      <x:c r="F9" s="41" t="str">
        <x:v>Static cross-check generated from current product price snapshot.</x:v>
      </x:c>
    </x:row>
  </x:sheetData>
  <x:mergeCells>
    <x:mergeCell ref="A1:F1"/>
  </x:mergeCells>
  <x:pageMargins left="0.7" right="0.7" top="0.75" bottom="0.75" header="0.3" footer="0.3"/>
</x:worksheet>
</file>